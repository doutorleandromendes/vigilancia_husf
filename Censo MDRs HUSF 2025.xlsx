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11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2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11.xml"/>
  <Override ContentType="application/vnd.ms-excel.threadedcomments+xml" PartName="/xl/threadedComments/threadedComment12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" sheetId="1" r:id="rId5"/>
    <sheet state="visible" name="FEV" sheetId="2" r:id="rId6"/>
    <sheet state="visible" name="MAR" sheetId="3" r:id="rId7"/>
    <sheet state="visible" name="ABR" sheetId="4" r:id="rId8"/>
    <sheet state="visible" name="MAI" sheetId="5" r:id="rId9"/>
    <sheet state="visible" name="JUN" sheetId="6" r:id="rId10"/>
    <sheet state="visible" name="JUL" sheetId="7" r:id="rId11"/>
    <sheet state="visible" name="AGO" sheetId="8" r:id="rId12"/>
    <sheet state="visible" name="SET" sheetId="9" r:id="rId13"/>
    <sheet state="visible" name="OUT" sheetId="10" r:id="rId14"/>
    <sheet state="visible" name="NOV" sheetId="11" r:id="rId15"/>
    <sheet state="visible" name="DEZ" sheetId="12" r:id="rId16"/>
    <sheet state="visible" name="Planilha1" sheetId="13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tc={21124d10-2e6c-4ba8-bfaf-6d34511bb6ac}</author>
    <author>tc={267d765d-62d3-4389-9ac5-d6337341b75a}</author>
    <author>tc={4dbe375b-8cae-45b2-be9f-720d911f2bec}</author>
    <author>tc={4e78ba31-15bf-4649-846e-d7704fbb0e3d}</author>
    <author>tc={adc7866e-2cde-4373-b69b-f90843c02b98}</author>
    <author>tc={f7a4bd18-3a9e-40dc-ab5c-df622a0312d7}</author>
  </authors>
  <commentList>
    <comment authorId="0" xr:uid="{21124d10-2e6c-4ba8-bfaf-6d34511bb6a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Alexandre 4484158 para uti c
</t>
      </text>
    </comment>
    <comment authorId="1" xr:uid="{267d765d-62d3-4389-9ac5-d6337341b75a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paciente com MDR de internação anterior
</t>
      </text>
    </comment>
    <comment authorId="2" xr:uid="{4dbe375b-8cae-45b2-be9f-720d911f2bec}" ref="P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transferida da UTI B
</t>
      </text>
    </comment>
    <comment authorId="3" xr:uid="{4e78ba31-15bf-4649-846e-d7704fbb0e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Alexandre da UTI A
</t>
      </text>
    </comment>
    <comment authorId="4" xr:uid="{adc7866e-2cde-4373-b69b-f90843c02b9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Ivone 4573215
</t>
      </text>
    </comment>
    <comment authorId="5" xr:uid="{f7a4bd18-3a9e-40dc-ab5c-df622a0312d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Sueli 4668615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tc={434db3c6-b607-40cc-8b42-de652d4dd351}</author>
    <author>tc={446c791f-3493-447b-b17f-eae6431d2975}</author>
    <author>tc={7399d1bd-9cfb-44b8-81f5-e7e9865cb2d8}</author>
    <author>tc={aa6751d1-34fd-413a-bb90-ca1c79a0c0a7}</author>
    <author>tc={d418a5f2-0065-4a02-83e9-dd3a94b2a1b5}</author>
    <author>tc={f986dcad-8983-4e02-8ce6-0511639e381e}</author>
  </authors>
  <commentList>
    <comment authorId="0" xr:uid="{434db3c6-b607-40cc-8b42-de652d4dd351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2 ESBL
</t>
      </text>
    </comment>
    <comment authorId="1" xr:uid="{446c791f-3493-447b-b17f-eae6431d2975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para UTI
</t>
      </text>
    </comment>
    <comment authorId="2" xr:uid="{7399d1bd-9cfb-44b8-81f5-e7e9865cb2d8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novo e óbito no mesmo dia
</t>
      </text>
    </comment>
    <comment authorId="3" xr:uid="{aa6751d1-34fd-413a-bb90-ca1c79a0c0a7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novo e transferido para clinica
</t>
      </text>
    </comment>
    <comment authorId="4" xr:uid="{d418a5f2-0065-4a02-83e9-dd3a94b2a1b5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Clinica cirúrgica (2 ESBL)
</t>
      </text>
    </comment>
    <comment authorId="5" xr:uid="{f986dcad-8983-4e02-8ce6-0511639e381e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novo e transferência para clinica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tc={3fcdbafb-3f27-4bf8-8519-698689bd2e35}</author>
    <author>tc={41b3f610-abd1-468a-9692-ff87fc97c4bc}</author>
    <author>tc={48064bef-5fa6-4886-9dc4-0187e264b633}</author>
    <author>tc={760e9d75-573d-4611-9481-8b67329bd521}</author>
    <author>tc={78e64d12-4dfe-4193-823b-155e9376f1ac}</author>
    <author>tc={7d60f867-e7cd-4ee2-84e3-38c9a6543eaf}</author>
    <author>tc={87660954-87df-40f6-a560-e6b533f356a1}</author>
    <author>tc={8de8bfde-19a2-4a81-8735-081d0ad4bd5d}</author>
    <author>tc={91b66e9d-69f8-490b-beaa-90a7b015a50b}</author>
    <author>tc={aff6d0d0-1b09-41fd-8cf7-2a17d5acaed1}</author>
    <author>tc={c3ed3687-a28a-4865-8285-f496100425f4}</author>
    <author>tc={c49f002a-9f65-48af-90b6-1162459783e2}</author>
    <author>tc={f16f49f8-8cb9-4fb4-9f5d-c2d07198b0ba}</author>
    <author>tc={fae684ff-04e9-4672-9142-388853a30bd9}</author>
    <author>tc={fe5256c4-c667-426a-9c96-8cb3115fb7e1}</author>
  </authors>
  <commentList>
    <comment authorId="0" xr:uid="{3fcdbafb-3f27-4bf8-8519-698689bd2e35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obito 4498027
</t>
      </text>
    </comment>
    <comment authorId="1" xr:uid="{41b3f610-abd1-468a-9692-ff87fc97c4bc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dia 8
</t>
      </text>
    </comment>
    <comment authorId="2" xr:uid="{48064bef-5fa6-4886-9dc4-0187e264b633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NAZARÉ 4502708
</t>
      </text>
    </comment>
    <comment authorId="3" xr:uid="{760e9d75-573d-4611-9481-8b67329bd521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alexandre 4484158
</t>
      </text>
    </comment>
    <comment authorId="4" xr:uid="{78e64d12-4dfe-4193-823b-155e9376f1ac}" ref="I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Faustina - 4497771
</t>
      </text>
    </comment>
    <comment authorId="5" xr:uid="{7d60f867-e7cd-4ee2-84e3-38c9a6543eaf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Solange 4500080
</t>
      </text>
    </comment>
    <comment authorId="6" xr:uid="{87660954-87df-40f6-a560-e6b533f356a1}" ref="R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DA UTI A
</t>
      </text>
    </comment>
    <comment authorId="7" xr:uid="{8de8bfde-19a2-4a81-8735-081d0ad4bd5d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Faustina - 4497771
</t>
      </text>
    </comment>
    <comment authorId="8" xr:uid="{91b66e9d-69f8-490b-beaa-90a7b015a50b}" ref="O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OLGA 4496693
</t>
      </text>
    </comment>
    <comment authorId="9" xr:uid="{aff6d0d0-1b09-41fd-8cf7-2a17d5acaed1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internação 4498027
</t>
      </text>
    </comment>
    <comment authorId="10" xr:uid="{c3ed3687-a28a-4865-8285-f496100425f4}" ref="I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Akira - 4507719
</t>
      </text>
    </comment>
    <comment authorId="11" xr:uid="{c49f002a-9f65-48af-90b6-1162459783e2}" ref="F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MAURICIO 4509234
</t>
      </text>
    </comment>
    <comment authorId="12" xr:uid="{f16f49f8-8cb9-4fb4-9f5d-c2d07198b0ba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externa / swab admissão positivo, alta dia 18.
</t>
      </text>
    </comment>
    <comment authorId="13" xr:uid="{fae684ff-04e9-4672-9142-388853a30bd9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/ não é novo
</t>
      </text>
    </comment>
    <comment authorId="14" xr:uid="{fe5256c4-c667-426a-9c96-8cb3115fb7e1}" ref="F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Alexandre para UTI C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tc={073cdf18-9d28-46d4-bd93-dc69174f97c1}</author>
    <author>tc={07796bb4-c501-4054-8fbb-e02250281b37}</author>
    <author>tc={1ea1386e-2a11-4757-8cd4-3fd1c37f63ec}</author>
    <author>tc={26290ebe-0c22-422c-a9e1-73ce47345bb7}</author>
    <author>tc={26b6a4da-c37b-47d1-a6a3-eaa50c208596}</author>
    <author>tc={2c4fb069-0f10-4c68-9d62-e4bebfcd6ad3}</author>
    <author>tc={2f0a1f7b-496a-4a24-8cc4-0f171217004b}</author>
    <author>tc={35a68a76-9b1b-4a09-9e39-2a46e6886905}</author>
    <author>tc={36340f6c-9c0f-4f32-9882-82221f3a787c}</author>
    <author>tc={412b993a-37a7-4c98-a3e1-dc5f8ee895e1}</author>
    <author>tc={460a3363-2cb0-444b-b6c2-0bee2fa38fa2}</author>
    <author>tc={4eabc79c-0299-420c-96bd-f5a6399d13ea}</author>
    <author>tc={586ab908-13c7-470b-b245-352fb006afac}</author>
    <author>tc={5d84ae36-24d1-4d7c-b789-23cee251446b}</author>
    <author>tc={5ffccc2e-23a4-4910-8c5b-d60e85a572e5}</author>
    <author>tc={617386ab-91fd-4d5a-b0ee-ac54befbfeb1}</author>
    <author>tc={65ee4fca-01c9-4859-a71f-a2e1604b2aeb}</author>
    <author>tc={8034f55e-037c-4aed-9298-39b38c3eedd0}</author>
    <author>tc={84f1a2ca-992a-48e0-850a-b287289489ac}</author>
    <author>tc={8bbba9af-4522-46ee-9103-747238b4fb74}</author>
    <author>tc={930bd25b-bc8d-4bfc-a31f-d18d06a69b68}</author>
    <author>tc={943df702-8af9-4793-9629-f10a5efc73a6}</author>
    <author>tc={9570c103-e0bc-4636-9a66-f57ea7d44c15}</author>
    <author>tc={96fcf257-b048-42c7-a2c6-e2453a3fd9ab}</author>
    <author>tc={a123e4d0-227b-4ea3-8e34-9d246d789e77}</author>
    <author>tc={a6af684d-618d-4916-af56-b1b00128bd66}</author>
    <author>tc={b9e62119-3a5f-436c-acdc-d8f51de6e114}</author>
    <author>tc={bc01ac38-66c2-45f5-b88b-1cead3b87ace}</author>
    <author>tc={be3a7696-f634-4d7b-b8ff-6b4471053a24}</author>
    <author>tc={c178d706-ae58-489d-83af-ee7fa129da85}</author>
    <author>tc={c7eee6f3-4fd6-4f49-902a-46b0682947c4}</author>
    <author>tc={c80fcd37-f301-4740-86f6-f11e65a22537}</author>
    <author>tc={c90a7b6b-5662-4df3-b69b-f35cea383813}</author>
    <author>tc={cb515b4d-30d9-49de-9a60-9db0c3a46b4b}</author>
    <author>tc={cd55a55d-78a7-4919-8bad-6959b6f34a39}</author>
    <author>tc={d255b753-386d-47b7-997c-94ee7b110168}</author>
    <author>tc={dc97183f-59e8-4832-9202-1aa60f30b070}</author>
    <author>tc={ddbfc170-e9d0-461e-8559-062822e755c9}</author>
    <author>tc={df5e793a-9ef6-4e44-8b75-3e8821a95d32}</author>
    <author>tc={e4f930d2-fdd6-404e-b23a-25ab0584107f}</author>
    <author>tc={e6b5935a-ed98-40cc-9b26-7e1623e5a122}</author>
    <author>tc={e7dba19d-f554-449d-9f5e-6a9667e34b13}</author>
    <author>tc={f20e5ea9-1b99-46d1-9546-0c664ec20ffa}</author>
    <author>tc={f3b04d15-73e7-4a29-8ce1-713c9770bd9d}</author>
    <author>tc={fc66688b-7f0f-4ad8-b815-8b7cc3381e81}</author>
    <author>tc={fdc03c9a-7c56-4cca-b786-6c5038196def}</author>
    <author>tc={fdc73acf-53f1-497f-bad7-85695088a3ee}</author>
  </authors>
  <commentList>
    <comment authorId="0" xr:uid="{073cdf18-9d28-46d4-bd93-dc69174f97c1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Elivelton 4494789
</t>
      </text>
    </comment>
    <comment authorId="1" xr:uid="{07796bb4-c501-4054-8fbb-e02250281b37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Noel AT: 4528768
</t>
      </text>
    </comment>
    <comment authorId="2" xr:uid="{1ea1386e-2a11-4757-8cd4-3fd1c37f63ec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stanley 4516669
</t>
      </text>
    </comment>
    <comment authorId="3" xr:uid="{26290ebe-0c22-422c-a9e1-73ce47345bb7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stanley 4516669
</t>
      </text>
    </comment>
    <comment authorId="4" xr:uid="{26b6a4da-c37b-47d1-a6a3-eaa50c20859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GENEROSA 4514943
</t>
      </text>
    </comment>
    <comment authorId="5" xr:uid="{2c4fb069-0f10-4c68-9d62-e4bebfcd6ad3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JURACY 4537443
</t>
      </text>
    </comment>
    <comment authorId="6" xr:uid="{2f0a1f7b-496a-4a24-8cc4-0f171217004b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Akira - 4507719
</t>
      </text>
    </comment>
    <comment authorId="7" xr:uid="{35a68a76-9b1b-4a09-9e39-2a46e6886905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m. de fatima 4509310
</t>
      </text>
    </comment>
    <comment authorId="8" xr:uid="{36340f6c-9c0f-4f32-9882-82221f3a787c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pedro  4529346
</t>
      </text>
    </comment>
    <comment authorId="9" xr:uid="{412b993a-37a7-4c98-a3e1-dc5f8ee895e1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Sebastião 4512265
</t>
      </text>
    </comment>
    <comment authorId="10" xr:uid="{460a3363-2cb0-444b-b6c2-0bee2fa38fa2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Generosa 4514943
</t>
      </text>
    </comment>
    <comment authorId="11" xr:uid="{4eabc79c-0299-420c-96bd-f5a6399d13ea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Emael
</t>
      </text>
    </comment>
    <comment authorId="12" xr:uid="{586ab908-13c7-470b-b245-352fb006afac}" ref="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Sebastião 448064
</t>
      </text>
    </comment>
    <comment authorId="13" xr:uid="{5d84ae36-24d1-4d7c-b789-23cee251446b}" ref="N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solange 4500080
</t>
      </text>
    </comment>
    <comment authorId="14" xr:uid="{5ffccc2e-23a4-4910-8c5b-d60e85a572e5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Akira
</t>
      </text>
    </comment>
    <comment authorId="15" xr:uid="{617386ab-91fd-4d5a-b0ee-ac54befbfeb1}" ref="Q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irineu 4536318
</t>
      </text>
    </comment>
    <comment authorId="16" xr:uid="{65ee4fca-01c9-4859-a71f-a2e1604b2aeb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Luiz 4506799
</t>
      </text>
    </comment>
    <comment authorId="17" xr:uid="{8034f55e-037c-4aed-9298-39b38c3eedd0}" ref="Z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Gabriel
</t>
      </text>
    </comment>
    <comment authorId="18" xr:uid="{84f1a2ca-992a-48e0-850a-b287289489ac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Valter palma 4516943
</t>
      </text>
    </comment>
    <comment authorId="19" xr:uid="{8bbba9af-4522-46ee-9103-747238b4fb74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4512265
</t>
      </text>
    </comment>
    <comment authorId="20" xr:uid="{930bd25b-bc8d-4bfc-a31f-d18d06a69b68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aline 4513675
</t>
      </text>
    </comment>
    <comment authorId="21" xr:uid="{943df702-8af9-4793-9629-f10a5efc73a6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José Ercio 4519773
Reply:
	Adm M. Helena 4521649
</t>
      </text>
    </comment>
    <comment authorId="22" xr:uid="{9570c103-e0bc-4636-9a66-f57ea7d44c15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Daniel Bezerra - 4507283 positivado e alta
Reply:
	adm nazare 4502708
</t>
      </text>
    </comment>
    <comment authorId="23" xr:uid="{96fcf257-b048-42c7-a2c6-e2453a3fd9ab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Alice Maria 4513675
Mauricio da Silva 4503179
</t>
      </text>
    </comment>
    <comment authorId="24" xr:uid="{a123e4d0-227b-4ea3-8e34-9d246d789e77}" ref="Q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Elivelton 4494789
</t>
      </text>
    </comment>
    <comment authorId="25" xr:uid="{a6af684d-618d-4916-af56-b1b00128bd66}" ref="C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giovani 4537893
</t>
      </text>
    </comment>
    <comment authorId="26" xr:uid="{b9e62119-3a5f-436c-acdc-d8f51de6e114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Claudinei 4529461
</t>
      </text>
    </comment>
    <comment authorId="27" xr:uid="{bc01ac38-66c2-45f5-b88b-1cead3b87ace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akira
</t>
      </text>
    </comment>
    <comment authorId="28" xr:uid="{be3a7696-f634-4d7b-b8ff-6b4471053a24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Rosa 4519448
</t>
      </text>
    </comment>
    <comment authorId="29" xr:uid="{c178d706-ae58-489d-83af-ee7fa129da85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Maurício 4503179
admissão Gabriela 4524815
Reply:
	alta José Ercio
</t>
      </text>
    </comment>
    <comment authorId="30" xr:uid="{c7eee6f3-4fd6-4f49-902a-46b0682947c4}" ref="N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de Fatima 4509310
</t>
      </text>
    </comment>
    <comment authorId="31" xr:uid="{c80fcd37-f301-4740-86f6-f11e65a22537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pedro g 4529346
</t>
      </text>
    </comment>
    <comment authorId="32" xr:uid="{c90a7b6b-5662-4df3-b69b-f35cea383813}" ref="P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Sebastião
</t>
      </text>
    </comment>
    <comment authorId="33" xr:uid="{cb515b4d-30d9-49de-9a60-9db0c3a46b4b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4528373/ óbito 4521598
</t>
      </text>
    </comment>
    <comment authorId="34" xr:uid="{cd55a55d-78a7-4919-8bad-6959b6f34a39}" ref="R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4512265
</t>
      </text>
    </comment>
    <comment authorId="35" xr:uid="{d255b753-386d-47b7-997c-94ee7b110168}" ref="A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Gabriel Gouveia 4522910
</t>
      </text>
    </comment>
    <comment authorId="36" xr:uid="{dc97183f-59e8-4832-9202-1aa60f30b070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Gabriela
</t>
      </text>
    </comment>
    <comment authorId="37" xr:uid="{ddbfc170-e9d0-461e-8559-062822e755c9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do Elivelton
</t>
      </text>
    </comment>
    <comment authorId="38" xr:uid="{df5e793a-9ef6-4e44-8b75-3e8821a95d32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 de fatima 4509310
</t>
      </text>
    </comment>
    <comment authorId="39" xr:uid="{e4f930d2-fdd6-404e-b23a-25ab0584107f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Luiz Rodrigues
</t>
      </text>
    </comment>
    <comment authorId="40" xr:uid="{e6b5935a-ed98-40cc-9b26-7e1623e5a122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MAURICIO 4509234
</t>
      </text>
    </comment>
    <comment authorId="41" xr:uid="{e7dba19d-f554-449d-9f5e-6a9667e34b13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Marieli 4520443
</t>
      </text>
    </comment>
    <comment authorId="42" xr:uid="{f20e5ea9-1b99-46d1-9546-0c664ec20ffa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Akira 4507719
</t>
      </text>
    </comment>
    <comment authorId="43" xr:uid="{f3b04d15-73e7-4a29-8ce1-713c9770bd9d}" ref="O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Esmael 4516946
</t>
      </text>
    </comment>
    <comment authorId="44" xr:uid="{fc66688b-7f0f-4ad8-b815-8b7cc3381e81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Cleudinei
</t>
      </text>
    </comment>
    <comment authorId="45" xr:uid="{fdc03c9a-7c56-4cca-b786-6c5038196def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Noel M F
</t>
      </text>
    </comment>
    <comment authorId="46" xr:uid="{fdc73acf-53f1-497f-bad7-85695088a3ee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Rosa 4519448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tc={058ed472-2d99-4638-9ae6-9672770ad30a}</author>
    <author>tc={0d28f4a5-cc7a-450d-b02c-392600c7cca4}</author>
    <author>tc={1543511f-f98c-4413-aa16-5b14e690c1d9}</author>
    <author>tc={1a3e8156-77b1-4fee-a2c7-e2bbc643dd13}</author>
    <author>tc={1cf2930d-ea82-4a7a-ad21-0c814ef6a7a0}</author>
    <author>tc={22b3ff15-4dd8-4e5d-9ec1-34543bfab5cd}</author>
    <author>tc={23bbdea9-b2d9-421a-ae7d-ceab970959e2}</author>
    <author>tc={25a2a5b5-a0ff-4d1b-9e58-6a396dba1bb2}</author>
    <author>tc={275b4889-a89b-4a5b-a3ae-9888e428ce32}</author>
    <author>tc={2acfe5d5-ccb1-4118-9738-092601f2aaf7}</author>
    <author>tc={2c71dec1-21c4-4651-b830-58811deb9784}</author>
    <author>tc={2d7bd58e-fb5d-4bdb-939a-ecbfde49586a}</author>
    <author>tc={35fdbd00-2648-4812-8d34-955ce1425c85}</author>
    <author>tc={38a7285a-2abf-4990-952a-64111a1f764c}</author>
    <author>tc={3f27cce8-9265-4dd0-9189-c8431cb49fe4}</author>
    <author>tc={409249d9-f236-4841-826d-4dbf8302f349}</author>
    <author>tc={485e89d2-367d-4680-8570-322cf407788e}</author>
    <author>tc={48f65be0-b90e-48b8-a764-13c9500428e9}</author>
    <author>tc={494397df-0f02-4826-ab5e-84ab00802d25}</author>
    <author>tc={4c6f51b8-b502-44ed-8ca7-2c5013eae2ee}</author>
    <author>tc={512c03d9-cf8d-4974-81bb-72aa1afea613}</author>
    <author>tc={55868236-903e-4656-a82c-63a7a05b333f}</author>
    <author>tc={5894ca29-1287-4b32-9bc6-faa86cad0ea1}</author>
    <author>tc={59a9d71f-a8eb-480a-94d9-221af1033ad9}</author>
    <author>tc={62d3dd33-63f8-45e9-bef9-7eac61b35e5c}</author>
    <author>tc={63af13a4-d2cf-462b-8876-b802d3f0cc81}</author>
    <author>tc={6880e6de-60f5-43c8-a6d8-cf26189d330e}</author>
    <author>tc={6b310a0b-8728-4602-a1df-527f8656b6e0}</author>
    <author>tc={710494ff-be00-43f6-8e8b-7dc3fd907ee7}</author>
    <author>tc={725a3cc6-1d87-44e7-8395-b5aef7fd5563}</author>
    <author>tc={78dc80b2-ca57-4562-a861-526da3b54f51}</author>
    <author>tc={80f621e5-40b7-453f-bbca-2634baf95a65}</author>
    <author>tc={84632995-eac8-41e6-ada5-f964d58e6a7a}</author>
    <author>tc={89e0d2d8-ea81-463c-a8cc-0bc2bdb0fb0d}</author>
    <author>tc={8deb1a95-f11d-4972-9b50-e6553fcd49bf}</author>
    <author>tc={9121ed6a-b502-48bb-a015-217769631dfc}</author>
    <author>tc={9fe305c5-13c0-4344-9dbf-3a6f45e2b8bb}</author>
    <author>tc={a3fd9a36-b81e-4aa6-99d8-61edc3ebae49}</author>
    <author>tc={a718cb59-14fe-47db-9350-85f3e1b50030}</author>
    <author>tc={a7b8589d-4bf5-41ed-a6f8-189a8291c572}</author>
    <author>tc={aca60380-fe0d-459e-a9e3-0ecc8264fe7b}</author>
    <author>tc={b4cbbf06-7609-43f7-b325-4b459eaa0ecd}</author>
    <author>tc={b6065c50-aaf8-4a26-933a-465c82c7fb52}</author>
    <author>tc={b66876fe-280f-422f-854a-17c048f60769}</author>
    <author>tc={c44a14df-16fb-482c-aceb-7526033924ed}</author>
    <author>tc={c49cfa61-dd8c-4b25-97db-30b0e97656f3}</author>
    <author>tc={c6eca619-4211-4fa4-9d41-acc1c6436d51}</author>
    <author>tc={d13f04b3-d471-4c19-a271-ccb90cc442fd}</author>
    <author>tc={d1b7df45-f890-4355-bb8a-f677c699918e}</author>
    <author>tc={d29a3c90-ee18-4c34-b25d-57611ca49e6c}</author>
    <author>tc={d66b395a-4a42-429f-8957-5970b9767245}</author>
    <author>tc={dfa43a33-5b71-45d8-bd68-927633438f23}</author>
    <author>tc={e022899f-71db-4aa2-91c9-b0f654cdf1a8}</author>
    <author>tc={e59652df-3b3c-4170-82df-a5487922a20c}</author>
    <author>tc={e69c20d9-3fbf-4c9a-ba6a-9e60e843ad7a}</author>
    <author>tc={e751f37d-f122-43b2-bd3a-920296fa5b54}</author>
    <author>tc={e8fb90dc-255f-4a20-a60c-a8877ab32f97}</author>
    <author>tc={eb49661a-41c3-464f-8342-e8faa6d8e3ba}</author>
    <author>tc={ec20886f-037e-4cc2-b2c9-ce03b052c6ce}</author>
    <author>tc={efcd1f6a-98a5-4de0-a28d-e7abed47c1b3}</author>
    <author>tc={f033d561-0b06-4578-942a-6805a3eafca2}</author>
    <author>tc={f949f3ff-b6e9-4bc0-ab27-91b0e0cbbee0}</author>
    <author>tc={ff8a53af-21a5-42b5-ab37-85bf98c4e4b7}</author>
  </authors>
  <commentList>
    <comment authorId="0" xr:uid="{058ed472-2d99-4638-9ae6-9672770ad30a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valdemar 4542822
</t>
      </text>
    </comment>
    <comment authorId="1" xr:uid="{0d28f4a5-cc7a-450d-b02c-392600c7cca4}" ref="C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Iracema 4539967
</t>
      </text>
    </comment>
    <comment authorId="2" xr:uid="{1543511f-f98c-4413-aa16-5b14e690c1d9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Gomercilio 4549117
</t>
      </text>
    </comment>
    <comment authorId="3" xr:uid="{1a3e8156-77b1-4fee-a2c7-e2bbc643dd13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Dione 4544679
</t>
      </text>
    </comment>
    <comment authorId="4" xr:uid="{1cf2930d-ea82-4a7a-ad21-0c814ef6a7a0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Jandira 4548336
</t>
      </text>
    </comment>
    <comment authorId="5" xr:uid="{22b3ff15-4dd8-4e5d-9ec1-34543bfab5cd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maria f 4554788
Reply:
	alta rosemary 4559723
</t>
      </text>
    </comment>
    <comment authorId="6" xr:uid="{23bbdea9-b2d9-421a-ae7d-ceab970959e2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Herminio 4550472
</t>
      </text>
    </comment>
    <comment authorId="7" xr:uid="{25a2a5b5-a0ff-4d1b-9e58-6a396dba1bb2}" ref="E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Dionysio - 4550562
</t>
      </text>
    </comment>
    <comment authorId="8" xr:uid="{275b4889-a89b-4a5b-a3ae-9888e428ce32}" ref="H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Ivanilda 4551899
</t>
      </text>
    </comment>
    <comment authorId="9" xr:uid="{2acfe5d5-ccb1-4118-9738-092601f2aaf7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rogerio 4554494
</t>
      </text>
    </comment>
    <comment authorId="10" xr:uid="{2c71dec1-21c4-4651-b830-58811deb9784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Herminio 4550472
</t>
      </text>
    </comment>
    <comment authorId="11" xr:uid="{2d7bd58e-fb5d-4bdb-939a-ecbfde49586a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Dione 4544679
Reply:
	Alta Luis F. 4545998
Reply:
	Alta Iracema 4539967
</t>
      </text>
    </comment>
    <comment authorId="12" xr:uid="{35fdbd00-2648-4812-8d34-955ce1425c85}" ref="P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MARIA AP 4558408
</t>
      </text>
    </comment>
    <comment authorId="13" xr:uid="{38a7285a-2abf-4990-952a-64111a1f764c}" ref="Q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lourdes 4554793
</t>
      </text>
    </comment>
    <comment authorId="14" xr:uid="{3f27cce8-9265-4dd0-9189-c8431cb49fe4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Valdemar 4542822
</t>
      </text>
    </comment>
    <comment authorId="15" xr:uid="{409249d9-f236-4841-826d-4dbf8302f349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j. roberto 4544605
</t>
      </text>
    </comment>
    <comment authorId="16" xr:uid="{485e89d2-367d-4680-8570-322cf407788e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lidia r 4539135
</t>
      </text>
    </comment>
    <comment authorId="17" xr:uid="{48f65be0-b90e-48b8-a764-13c9500428e9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Geraldo 4534739
Reply:
	Adm Laerte 4539906
</t>
      </text>
    </comment>
    <comment authorId="18" xr:uid="{494397df-0f02-4826-ab5e-84ab00802d25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Odete 4547735
</t>
      </text>
    </comment>
    <comment authorId="19" xr:uid="{4c6f51b8-b502-44ed-8ca7-2c5013eae2ee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4568371 Edvaldo
</t>
      </text>
    </comment>
    <comment authorId="20" xr:uid="{512c03d9-cf8d-4974-81bb-72aa1afea613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Onofre 4539018
</t>
      </text>
    </comment>
    <comment authorId="21" xr:uid="{55868236-903e-4656-a82c-63a7a05b333f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Emerenciana 4556084
Reply:
	Alta Antonia G. 4557394
</t>
      </text>
    </comment>
    <comment authorId="22" xr:uid="{5894ca29-1287-4b32-9bc6-faa86cad0ea1}" ref="O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luiz ap 4554788
</t>
      </text>
    </comment>
    <comment authorId="23" xr:uid="{59a9d71f-a8eb-480a-94d9-221af1033ad9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solange 4538263
</t>
      </text>
    </comment>
    <comment authorId="24" xr:uid="{62d3dd33-63f8-45e9-bef9-7eac61b35e5c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Herminio 4550472
</t>
      </text>
    </comment>
    <comment authorId="25" xr:uid="{63af13a4-d2cf-462b-8876-b802d3f0cc81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Juaresteves 4557268
</t>
      </text>
    </comment>
    <comment authorId="26" xr:uid="{6880e6de-60f5-43c8-a6d8-cf26189d330e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stanley 4516669
</t>
      </text>
    </comment>
    <comment authorId="27" xr:uid="{6b310a0b-8728-4602-a1df-527f8656b6e0}" ref="N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Gomercilio 4549117
</t>
      </text>
    </comment>
    <comment authorId="28" xr:uid="{710494ff-be00-43f6-8e8b-7dc3fd907ee7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nazaré 4502708
Reply:
	Alta geraldo 4534739
Reply:
	óbito m. helena 4521649
</t>
      </text>
    </comment>
    <comment authorId="29" xr:uid="{725a3cc6-1d87-44e7-8395-b5aef7fd5563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Rosemary  4559723
</t>
      </text>
    </comment>
    <comment authorId="30" xr:uid="{78dc80b2-ca57-4562-a861-526da3b54f51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m. de fatima 4509310
Reply:
	adm lia r 4539135
</t>
      </text>
    </comment>
    <comment authorId="31" xr:uid="{80f621e5-40b7-453f-bbca-2634baf95a65}" ref="P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rosemary 4559723
</t>
      </text>
    </comment>
    <comment authorId="32" xr:uid="{84632995-eac8-41e6-ada5-f964d58e6a7a}" ref="N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pedro g 4529346
</t>
      </text>
    </comment>
    <comment authorId="33" xr:uid="{89e0d2d8-ea81-463c-a8cc-0bc2bdb0fb0d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f 4554788
</t>
      </text>
    </comment>
    <comment authorId="34" xr:uid="{8deb1a95-f11d-4972-9b50-e6553fcd49bf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EDVALDO 4561767
</t>
      </text>
    </comment>
    <comment authorId="35" xr:uid="{9121ed6a-b502-48bb-a015-217769631dfc}" ref="O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Iracema 4539967
</t>
      </text>
    </comment>
    <comment authorId="36" xr:uid="{9fe305c5-13c0-4344-9dbf-3a6f45e2b8bb}" ref="O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Iracema 4539967
</t>
      </text>
    </comment>
    <comment authorId="37" xr:uid="{a3fd9a36-b81e-4aa6-99d8-61edc3ebae49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de F. 4509310
</t>
      </text>
    </comment>
    <comment authorId="38" xr:uid="{a718cb59-14fe-47db-9350-85f3e1b50030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geraldo h. 4545861
</t>
      </text>
    </comment>
    <comment authorId="39" xr:uid="{a7b8589d-4bf5-41ed-a6f8-189a8291c572}" ref="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Irineu 4536318
</t>
      </text>
    </comment>
    <comment authorId="40" xr:uid="{aca60380-fe0d-459e-a9e3-0ecc8264fe7b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m. de fatima 4509310
Reply:
	ADM Jose correa 4561804
</t>
      </text>
    </comment>
    <comment authorId="41" xr:uid="{b4cbbf06-7609-43f7-b325-4b459eaa0ecd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Antonia G. 4557394
</t>
      </text>
    </comment>
    <comment authorId="42" xr:uid="{b6065c50-aaf8-4a26-933a-465c82c7fb52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iracema 4539967
Reply:
	Alta Maria de F. 4509310
</t>
      </text>
    </comment>
    <comment authorId="43" xr:uid="{b66876fe-280f-422f-854a-17c048f60769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4509310
</t>
      </text>
    </comment>
    <comment authorId="44" xr:uid="{c44a14df-16fb-482c-aceb-7526033924ed}" ref="E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de F. 4509310
</t>
      </text>
    </comment>
    <comment authorId="45" xr:uid="{c49cfa61-dd8c-4b25-97db-30b0e97656f3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Emerenciana 4556084
</t>
      </text>
    </comment>
    <comment authorId="46" xr:uid="{c6eca619-4211-4fa4-9d41-acc1c6436d51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 de fatima 4509310
</t>
      </text>
    </comment>
    <comment authorId="47" xr:uid="{d13f04b3-d471-4c19-a271-ccb90cc442fd}" ref="B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EDVALDO 4561767
</t>
      </text>
    </comment>
    <comment authorId="48" xr:uid="{d1b7df45-f890-4355-bb8a-f677c699918e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F. 4545998
</t>
      </text>
    </comment>
    <comment authorId="49" xr:uid="{d29a3c90-ee18-4c34-b25d-57611ca49e6c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Laerte 4539906
</t>
      </text>
    </comment>
    <comment authorId="50" xr:uid="{d66b395a-4a42-429f-8957-5970b9767245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jose correa 4561804
</t>
      </text>
    </comment>
    <comment authorId="51" xr:uid="{dfa43a33-5b71-45d8-bd68-927633438f23}" ref="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Rosemary 4559723
</t>
      </text>
    </comment>
    <comment authorId="52" xr:uid="{e022899f-71db-4aa2-91c9-b0f654cdf1a8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Jandira 4548336
</t>
      </text>
    </comment>
    <comment authorId="53" xr:uid="{e59652df-3b3c-4170-82df-a5487922a20c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nazaré 4502708
</t>
      </text>
    </comment>
    <comment authorId="54" xr:uid="{e69c20d9-3fbf-4c9a-ba6a-9e60e843ad7a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juracy 4537443
</t>
      </text>
    </comment>
    <comment authorId="55" xr:uid="{e751f37d-f122-43b2-bd3a-920296fa5b54}" ref="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ap 4558408
</t>
      </text>
    </comment>
    <comment authorId="56" xr:uid="{e8fb90dc-255f-4a20-a60c-a8877ab32f97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Odete 4547735
Reply:
	ADM Iracema 4539967
</t>
      </text>
    </comment>
    <comment authorId="57" xr:uid="{eb49661a-41c3-464f-8342-e8faa6d8e3ba}" ref="I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Ivanilda 4551899
</t>
      </text>
    </comment>
    <comment authorId="58" xr:uid="{ec20886f-037e-4cc2-b2c9-ce03b052c6ce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geraldo h. 4545861
</t>
      </text>
    </comment>
    <comment authorId="59" xr:uid="{efcd1f6a-98a5-4de0-a28d-e7abed47c1b3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Maria H. 4521649
</t>
      </text>
    </comment>
    <comment authorId="60" xr:uid="{f033d561-0b06-4578-942a-6805a3eafca2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Odete 4547735
</t>
      </text>
    </comment>
    <comment authorId="61" xr:uid="{f949f3ff-b6e9-4bc0-ab27-91b0e0cbbee0}" ref="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AP. 4558408
</t>
      </text>
    </comment>
    <comment authorId="62" xr:uid="{ff8a53af-21a5-42b5-ab37-85bf98c4e4b7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Iracema 4539967
Reply:
	Adm Jose correa 4561804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tc={0f5bfafd-506f-4f52-a850-84f8844b3433}</author>
    <author>tc={110e436a-a233-42b8-9ed5-23a24ad24b8a}</author>
    <author>tc={112ef070-2564-4820-a873-ac873398f1d8}</author>
    <author>tc={13a7a647-62c8-46a2-9273-8c5c0c5c6f5b}</author>
    <author>tc={14f3fdbc-54e3-4dee-bc7a-4d7f874a1922}</author>
    <author>tc={1de5201d-a1fc-435c-ad96-84462a48947d}</author>
    <author>tc={20237426-8de1-4574-b630-7f8e4bbb7e16}</author>
    <author>tc={2430ae8e-9f9b-433f-bfa3-20b32abfcba0}</author>
    <author>tc={251f6849-fcc2-41af-b863-cd112a2e242d}</author>
    <author>tc={35a68989-ba65-435d-b24f-2e40a6191096}</author>
    <author>tc={3d1a8733-ba16-4803-9467-8f51b67134ba}</author>
    <author>tc={3f57a131-2123-4238-bf05-c5627a5f57be}</author>
    <author>tc={414d138d-131c-4d10-9c73-e4e2c5dc12b6}</author>
    <author>tc={4228e067-ea05-4a0a-aa2b-d8d36cfbd154}</author>
    <author>tc={426b1d51-44f1-474e-a913-1ab6507dbffc}</author>
    <author>tc={44cfc5fc-63af-4c90-b143-e67d59954583}</author>
    <author>tc={474d792b-b33f-4db0-b155-250853cff437}</author>
    <author>tc={48dd5ba4-7e7a-471b-8fe4-0f3f3f2c3d62}</author>
    <author>tc={4b5c57ab-f6b4-4494-829a-dcda0aba7f8c}</author>
    <author>tc={4ee3b52c-09c7-4222-b373-3d7bfebe797c}</author>
    <author>tc={50d6fb00-cd21-4777-9712-5313bae72ce6}</author>
    <author>tc={57e71465-e7bc-4cb0-9372-d223f4963a62}</author>
    <author>tc={5da8fdbc-0df7-4a85-9968-e0ecbf5bd204}</author>
    <author>tc={64eae617-1776-49ca-b014-0c255cfa8abf}</author>
    <author>tc={6657773c-eec3-4915-a250-837834b2a8df}</author>
    <author>tc={66ab2344-1b7c-4677-9e9d-38834455d997}</author>
    <author>tc={6a207571-2fad-4139-b4a1-d41456c288ee}</author>
    <author>tc={6cd93380-a267-4deb-a2fc-aae6eab4c7c1}</author>
    <author>tc={7869c6c5-bddd-493e-9432-5bdb270e5a4a}</author>
    <author>tc={78d28b54-af0d-4d8b-aad2-f23ac3b9348d}</author>
    <author>tc={7cfaaf44-f0cb-4c31-b979-3cc0f2d4b714}</author>
    <author>tc={857d406a-1039-4fad-92fb-5d1bd9906bfb}</author>
    <author>tc={8ee121e7-ee7c-4834-8e43-2a18fa7d8209}</author>
    <author>tc={8f8faae7-537c-4893-865f-3789b08e4496}</author>
    <author>tc={97d30bc4-8057-4e1f-9a10-2dccac13b800}</author>
    <author>tc={9ad76412-6138-4722-86c1-48498ef3f378}</author>
    <author>tc={9b075b4c-9e53-4861-b781-98b7e98b3ff5}</author>
    <author>tc={a406c9fa-db97-43f8-803d-98598ceb78cd}</author>
    <author>tc={a6ad7945-0931-489e-8e37-438a0f66060d}</author>
    <author>tc={a7a81873-35d7-4e02-8c5d-dcb87b4fb38c}</author>
    <author>tc={acd755a9-1b55-48bf-b82b-223f1f44df30}</author>
    <author>tc={ace7f623-1e47-4c80-8db7-bea13ede7b76}</author>
    <author>tc={b02320dc-20aa-49f0-b0dd-76eefb67554c}</author>
    <author>tc={b4a8dd4b-87ca-46b1-a380-1d15fcc2ee22}</author>
    <author>tc={b63425d2-68fa-4fc1-a0ca-2b6b7c708d51}</author>
    <author>tc={b7cee71e-c911-4125-82f0-cf093af6a86b}</author>
    <author>tc={be4191fc-f140-46ff-b2b8-64c728151979}</author>
    <author>tc={c9c55cf2-5ae8-42bc-965d-eb07df461eb8}</author>
    <author>tc={cb2b883b-1a77-45c9-bc4f-6f89d3bc4c4e}</author>
    <author>tc={d060704b-c47a-4d53-8da5-22a49f60ff7d}</author>
    <author>tc={d2a95178-7a82-419b-8892-f6e8b66e9c31}</author>
    <author>tc={d60e517c-9e2e-428a-b813-d118ca7bdbe3}</author>
    <author>tc={dbc8140a-cb8d-4f8c-83dc-d888b4b5564c}</author>
    <author>tc={e290ff97-0bff-4218-ba94-5a34662adc21}</author>
    <author>tc={e3c576da-9146-4c4d-8609-35d5587f739e}</author>
    <author>tc={e754208e-e527-41c9-817f-695b4dcb61e5}</author>
    <author>tc={ea27b055-f864-42a0-b29f-6333785609d9}</author>
    <author>tc={ee5280bb-d2cf-4fe1-b096-96b2eee01dea}</author>
    <author>tc={f24a93b0-2ef3-4678-90c2-fe2bfdf6647a}</author>
    <author>tc={f62c6497-3318-4efb-9608-51de85dcee27}</author>
    <author>tc={fa2c2256-9353-49da-b44e-0e225db64c88}</author>
    <author>tc={fd42ac66-840e-475d-ba72-4b5b46085364}</author>
  </authors>
  <commentList>
    <comment authorId="0" xr:uid="{0f5bfafd-506f-4f52-a850-84f8844b3433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João 4572393
</t>
      </text>
    </comment>
    <comment authorId="1" xr:uid="{110e436a-a233-42b8-9ed5-23a24ad24b8a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p/ UTI C - Thiago 4581262
</t>
      </text>
    </comment>
    <comment authorId="2" xr:uid="{112ef070-2564-4820-a873-ac873398f1d8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Dionysio 4550562
</t>
      </text>
    </comment>
    <comment authorId="3" xr:uid="{13a7a647-62c8-46a2-9273-8c5c0c5c6f5b}" ref="R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Juarestaves 4557268
</t>
      </text>
    </comment>
    <comment authorId="4" xr:uid="{14f3fdbc-54e3-4dee-bc7a-4d7f874a1922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Marcelo  4574398
</t>
      </text>
    </comment>
    <comment authorId="5" xr:uid="{1de5201d-a1fc-435c-ad96-84462a48947d}" ref="O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Ana - 4571645
</t>
      </text>
    </comment>
    <comment authorId="6" xr:uid="{20237426-8de1-4574-b630-7f8e4bbb7e16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Edison 4588350
</t>
      </text>
    </comment>
    <comment authorId="7" xr:uid="{2430ae8e-9f9b-433f-bfa3-20b32abfcba0}" ref="P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Lourdes 4554793
</t>
      </text>
    </comment>
    <comment authorId="8" xr:uid="{251f6849-fcc2-41af-b863-cd112a2e242d}" ref="R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Claodomiro - 4562939
Reply:
	Atualização do novo método de coleta
</t>
      </text>
    </comment>
    <comment authorId="9" xr:uid="{35a68989-ba65-435d-b24f-2e40a6191096}" ref="D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da nova forma de coleta
</t>
      </text>
    </comment>
    <comment authorId="10" xr:uid="{3d1a8733-ba16-4803-9467-8f51b67134ba}" ref="N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do novo método de coleta
</t>
      </text>
    </comment>
    <comment authorId="11" xr:uid="{3f57a131-2123-4238-bf05-c5627a5f57be}" ref="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Carlos 4546007
</t>
      </text>
    </comment>
    <comment authorId="12" xr:uid="{414d138d-131c-4d10-9c73-e4e2c5dc12b6}" ref="O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4562010
</t>
      </text>
    </comment>
    <comment authorId="13" xr:uid="{4228e067-ea05-4a0a-aa2b-d8d36cfbd154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Juarestaves
Reply:
	Alta Claudio - 4568311
</t>
      </text>
    </comment>
    <comment authorId="14" xr:uid="{426b1d51-44f1-474e-a913-1ab6507dbffc}" ref="U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Janete 4577992
</t>
      </text>
    </comment>
    <comment authorId="15" xr:uid="{44cfc5fc-63af-4c90-b143-e67d59954583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4562010
</t>
      </text>
    </comment>
    <comment authorId="16" xr:uid="{474d792b-b33f-4db0-b155-250853cff437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- Ivone 4573215
</t>
      </text>
    </comment>
    <comment authorId="17" xr:uid="{48dd5ba4-7e7a-471b-8fe4-0f3f3f2c3d62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Maria Ap. 4568881
Reply:
	alta Mauri 4581140
</t>
      </text>
    </comment>
    <comment authorId="18" xr:uid="{4b5c57ab-f6b4-4494-829a-dcda0aba7f8c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Nadir 4562749
</t>
      </text>
    </comment>
    <comment authorId="19" xr:uid="{4ee3b52c-09c7-4222-b373-3d7bfebe797c}" ref="P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Dircea 4566137
</t>
      </text>
    </comment>
    <comment authorId="20" xr:uid="{50d6fb00-cd21-4777-9712-5313bae72ce6}" ref="P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do novo método de coleta
</t>
      </text>
    </comment>
    <comment authorId="21" xr:uid="{57e71465-e7bc-4cb0-9372-d223f4963a62}" ref="N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da UTI B - Thiago 4581262
</t>
      </text>
    </comment>
    <comment authorId="22" xr:uid="{5da8fdbc-0df7-4a85-9968-e0ecbf5bd204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da UTI C Ana - 4571645
Reply:
	Alta Rogerio - 4554494
</t>
      </text>
    </comment>
    <comment authorId="23" xr:uid="{64eae617-1776-49ca-b014-0c255cfa8abf}" ref="P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Aparicio - 4578913
</t>
      </text>
    </comment>
    <comment authorId="24" xr:uid="{6657773c-eec3-4915-a250-837834b2a8df}" ref="O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Alneia - 4574546
</t>
      </text>
    </comment>
    <comment authorId="25" xr:uid="{66ab2344-1b7c-4677-9e9d-38834455d997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Ivone 4573215
</t>
      </text>
    </comment>
    <comment authorId="26" xr:uid="{6a207571-2fad-4139-b4a1-d41456c288ee}" ref="S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claodomiro 4562939
</t>
      </text>
    </comment>
    <comment authorId="27" xr:uid="{6cd93380-a267-4deb-a2fc-aae6eab4c7c1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Marcelo 4574398
</t>
      </text>
    </comment>
    <comment authorId="28" xr:uid="{7869c6c5-bddd-493e-9432-5bdb270e5a4a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da nova forma de coleta
</t>
      </text>
    </comment>
    <comment authorId="29" xr:uid="{78d28b54-af0d-4d8b-aad2-f23ac3b9348d}" ref="D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Edvaldo
</t>
      </text>
    </comment>
    <comment authorId="30" xr:uid="{7cfaaf44-f0cb-4c31-b979-3cc0f2d4b714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José - 4562010
</t>
      </text>
    </comment>
    <comment authorId="31" xr:uid="{857d406a-1039-4fad-92fb-5d1bd9906bfb}" ref="G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João - 4575686
</t>
      </text>
    </comment>
    <comment authorId="32" xr:uid="{8ee121e7-ee7c-4834-8e43-2a18fa7d8209}" ref="Q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Aparicio - 4578913
</t>
      </text>
    </comment>
    <comment authorId="33" xr:uid="{8f8faae7-537c-4893-865f-3789b08e4496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Carlos 4546007
</t>
      </text>
    </comment>
    <comment authorId="34" xr:uid="{97d30bc4-8057-4e1f-9a10-2dccac13b800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Andre 4560004
</t>
      </text>
    </comment>
    <comment authorId="35" xr:uid="{9ad76412-6138-4722-86c1-48498ef3f378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Claudio - 4568311
</t>
      </text>
    </comment>
    <comment authorId="36" xr:uid="{9b075b4c-9e53-4861-b781-98b7e98b3ff5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Nadir
Reply:
	alta Edvaldo
</t>
      </text>
    </comment>
    <comment authorId="37" xr:uid="{a406c9fa-db97-43f8-803d-98598ceb78cd}" ref="N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Marilene 4575651
</t>
      </text>
    </comment>
    <comment authorId="38" xr:uid="{a6ad7945-0931-489e-8e37-438a0f66060d}" ref="E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Edvaldo - 472231
</t>
      </text>
    </comment>
    <comment authorId="39" xr:uid="{a7a81873-35d7-4e02-8c5d-dcb87b4fb38c}" ref="I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Edjane 4587206
</t>
      </text>
    </comment>
    <comment authorId="40" xr:uid="{acd755a9-1b55-48bf-b82b-223f1f44df30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Mauri 4581140
</t>
      </text>
    </comment>
    <comment authorId="41" xr:uid="{ace7f623-1e47-4c80-8db7-bea13ede7b76}" ref="U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Airto 4574253
</t>
      </text>
    </comment>
    <comment authorId="42" xr:uid="{b02320dc-20aa-49f0-b0dd-76eefb67554c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Marilene - 4575651
</t>
      </text>
    </comment>
    <comment authorId="43" xr:uid="{b4a8dd4b-87ca-46b1-a380-1d15fcc2ee22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- Luiz 4568885
</t>
      </text>
    </comment>
    <comment authorId="44" xr:uid="{b63425d2-68fa-4fc1-a0ca-2b6b7c708d51}" ref="N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- Alneia 4574546
</t>
      </text>
    </comment>
    <comment authorId="45" xr:uid="{b7cee71e-c911-4125-82f0-cf093af6a86b}" ref="Q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Dircea 4566137
</t>
      </text>
    </comment>
    <comment authorId="46" xr:uid="{be4191fc-f140-46ff-b2b8-64c728151979}" ref="P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Thiago - 4581262
</t>
      </text>
    </comment>
    <comment authorId="47" xr:uid="{c9c55cf2-5ae8-42bc-965d-eb07df461eb8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Juarestaves 4557268
Reply:
	Andre 4560004
</t>
      </text>
    </comment>
    <comment authorId="48" xr:uid="{cb2b883b-1a77-45c9-bc4f-6f89d3bc4c4e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Thiago - 4581262
</t>
      </text>
    </comment>
    <comment authorId="49" xr:uid="{d060704b-c47a-4d53-8da5-22a49f60ff7d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Ana - 4571645
</t>
      </text>
    </comment>
    <comment authorId="50" xr:uid="{d2a95178-7a82-419b-8892-f6e8b66e9c31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Rogerio - 4554494
</t>
      </text>
    </comment>
    <comment authorId="51" xr:uid="{d60e517c-9e2e-428a-b813-d118ca7bdbe3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p/ UTI C - Thiago 4581262
</t>
      </text>
    </comment>
    <comment authorId="52" xr:uid="{dbc8140a-cb8d-4f8c-83dc-d888b4b5564c}" ref="N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Thiago - 4581262
</t>
      </text>
    </comment>
    <comment authorId="53" xr:uid="{e290ff97-0bff-4218-ba94-5a34662adc21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para UTI B Ana - 4571645
Reply:
	Óbito Jose - 4562010
</t>
      </text>
    </comment>
    <comment authorId="54" xr:uid="{e3c576da-9146-4c4d-8609-35d5587f739e}" ref="N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Edison 4588350
</t>
      </text>
    </comment>
    <comment authorId="55" xr:uid="{e754208e-e527-41c9-817f-695b4dcb61e5}" ref="G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Luiz 4568885
</t>
      </text>
    </comment>
    <comment authorId="56" xr:uid="{ea27b055-f864-42a0-b29f-6333785609d9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João 4563077
</t>
      </text>
    </comment>
    <comment authorId="57" xr:uid="{ee5280bb-d2cf-4fe1-b096-96b2eee01dea}" ref="F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Atualização da nova forma de coleta
</t>
      </text>
    </comment>
    <comment authorId="58" xr:uid="{f24a93b0-2ef3-4678-90c2-fe2bfdf6647a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da UTI B - Thiago 4581262
</t>
      </text>
    </comment>
    <comment authorId="59" xr:uid="{f62c6497-3318-4efb-9608-51de85dcee27}" ref="N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Luiz 4554788
</t>
      </text>
    </comment>
    <comment authorId="60" xr:uid="{fa2c2256-9353-49da-b44e-0e225db64c88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- Ivone 4573215
</t>
      </text>
    </comment>
    <comment authorId="61" xr:uid="{fd42ac66-840e-475d-ba72-4b5b46085364}" ref="O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João 4572393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tc={01edebc7-e0ad-4fb3-937f-66ad084531ae}</author>
    <author>tc={02f21446-c899-451b-9184-fed8ac9ece10}</author>
    <author>tc={0aa0c95a-fdc8-45b2-98f1-494de955e0bb}</author>
    <author>tc={1420da7c-734a-47bb-817a-55e0ecb6e89c}</author>
    <author>tc={15d658c9-10e4-4625-bd48-772568148a8b}</author>
    <author>tc={163299ed-ee27-4247-9243-ffd3ae948951}</author>
    <author>tc={1b505dfe-42c6-4fa7-b5e5-c282b99ee702}</author>
    <author>tc={27a8b837-84f5-476e-bf2a-9586618fc785}</author>
    <author>tc={3f635b70-1eb1-45c2-80da-0f24c26037ad}</author>
    <author>tc={40d461e1-df49-417d-b139-31ce8c7e9a40}</author>
    <author>tc={5454df4d-5a1f-4e6e-9997-2a01209ac014}</author>
    <author>tc={5c613b75-9aef-47fc-872d-b2c35138fffe}</author>
    <author>tc={5fc9ebd1-0c2f-4a77-a4a2-924b4190784a}</author>
    <author>tc={6afbf1f9-8cff-4c9b-8b55-c817c18db4d0}</author>
    <author>tc={7805f102-49a5-460e-81b7-01812f06add1}</author>
    <author>tc={791b381e-1892-4c10-b4f7-d7eabe955434}</author>
    <author>tc={7e12dc08-922b-4a94-a357-f9b25f69c9b1}</author>
    <author>tc={809f73d2-28dc-45ce-a50c-23da3600ed9b}</author>
    <author>tc={87e39581-b5f1-43b6-8a86-810acf73d579}</author>
    <author>tc={88e8e304-9395-4054-b6c2-12691ac70512}</author>
    <author>tc={95027948-9ec3-4a8f-93e4-ad4e0ec2f692}</author>
    <author>tc={962d714c-0744-4a52-996f-836fb4e6ba77}</author>
    <author>tc={a21f741c-4233-499b-a13a-77a31ae9fa68}</author>
    <author>tc={a7de3aad-cbca-4969-8572-3ba637a2cc34}</author>
    <author>tc={ac019819-a25d-4aa0-a216-b168de9c2fb3}</author>
    <author>tc={af182078-cee3-4cec-b726-25ddba180d4e}</author>
    <author>tc={b6291444-62e8-43c2-919a-08d95f4af50d}</author>
    <author>tc={b8befe64-9157-4777-86dd-917d721e43d0}</author>
    <author>tc={be8604dd-0560-4c59-9d0e-f6607c5d0860}</author>
    <author>tc={bf455af2-a9de-4671-bb1b-440e110b7be2}</author>
    <author>tc={c90a0749-3e8d-48b5-9d3a-a123877fb1f9}</author>
    <author>tc={d1a3f864-8921-41a7-b5b3-92175f70feac}</author>
    <author>tc={d325c5bf-f66e-4445-a5d4-cc694c0943bb}</author>
    <author>tc={dac19b07-8f00-4032-813b-83ee9a9e1232}</author>
    <author>tc={f4749648-51b3-4850-abac-b6f3cf40ff7a}</author>
    <author>tc={f6e46966-edd2-41a9-812d-dda25a36c356}</author>
  </authors>
  <commentList>
    <comment authorId="0" xr:uid="{01edebc7-e0ad-4fb3-937f-66ad084531ae}" ref="B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Eduardo 4616437
</t>
      </text>
    </comment>
    <comment authorId="1" xr:uid="{02f21446-c899-451b-9184-fed8ac9ece10}" ref="I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Edjane 4587206
</t>
      </text>
    </comment>
    <comment authorId="2" xr:uid="{0aa0c95a-fdc8-45b2-98f1-494de955e0bb}" ref="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Marli 4610181
</t>
      </text>
    </comment>
    <comment authorId="3" xr:uid="{1420da7c-734a-47bb-817a-55e0ecb6e89c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Andressa 4607157
</t>
      </text>
    </comment>
    <comment authorId="4" xr:uid="{15d658c9-10e4-4625-bd48-772568148a8b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Regiane 4586965
Adm Vicente 4598472
</t>
      </text>
    </comment>
    <comment authorId="5" xr:uid="{163299ed-ee27-4247-9243-ffd3ae948951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Jacyra 4588340
</t>
      </text>
    </comment>
    <comment authorId="6" xr:uid="{1b505dfe-42c6-4fa7-b5e5-c282b99ee702}" ref="E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Joao 4614476
</t>
      </text>
    </comment>
    <comment authorId="7" xr:uid="{27a8b837-84f5-476e-bf2a-9586618fc785}" ref="T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Airto 4574253
</t>
      </text>
    </comment>
    <comment authorId="8" xr:uid="{3f635b70-1eb1-45c2-80da-0f24c26037ad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Marcelo 4574398
</t>
      </text>
    </comment>
    <comment authorId="9" xr:uid="{40d461e1-df49-417d-b139-31ce8c7e9a40}" ref="O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Genival 4611360
</t>
      </text>
    </comment>
    <comment authorId="10" xr:uid="{5454df4d-5a1f-4e6e-9997-2a01209ac014}" ref="N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Zelia 4597311
</t>
      </text>
    </comment>
    <comment authorId="11" xr:uid="{5c613b75-9aef-47fc-872d-b2c35138fffe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Caio 4604083
</t>
      </text>
    </comment>
    <comment authorId="12" xr:uid="{5fc9ebd1-0c2f-4a77-a4a2-924b4190784a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Cosmo 4600923
Reply:
	Alta Andressa 4607157
</t>
      </text>
    </comment>
    <comment authorId="13" xr:uid="{6afbf1f9-8cff-4c9b-8b55-c817c18db4d0}" ref="G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Luiz 4603460
</t>
      </text>
    </comment>
    <comment authorId="14" xr:uid="{7805f102-49a5-460e-81b7-01812f06add1}" ref="C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Willian 4615565
Reply:
	Adm José 4610388 (óbito no mesmo dia)
</t>
      </text>
    </comment>
    <comment authorId="15" xr:uid="{791b381e-1892-4c10-b4f7-d7eabe955434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Vicente 4598472
Reply:
	Alta Josiana 4603178
</t>
      </text>
    </comment>
    <comment authorId="16" xr:uid="{7e12dc08-922b-4a94-a357-f9b25f69c9b1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Irineu 4617907
Reply:
	Adm Roberto 4612308 (óbito no mesmo dia)
</t>
      </text>
    </comment>
    <comment authorId="17" xr:uid="{809f73d2-28dc-45ce-a50c-23da3600ed9b}" ref="H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Edjane 4587206
</t>
      </text>
    </comment>
    <comment authorId="18" xr:uid="{87e39581-b5f1-43b6-8a86-810acf73d579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Marcelo 4574398
</t>
      </text>
    </comment>
    <comment authorId="19" xr:uid="{88e8e304-9395-4054-b6c2-12691ac70512}" ref="S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Flordenis 4615492
</t>
      </text>
    </comment>
    <comment authorId="20" xr:uid="{95027948-9ec3-4a8f-93e4-ad4e0ec2f692}" ref="T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Janete 4577992
</t>
      </text>
    </comment>
    <comment authorId="21" xr:uid="{962d714c-0744-4a52-996f-836fb4e6ba77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Marli 4610181
</t>
      </text>
    </comment>
    <comment authorId="22" xr:uid="{a21f741c-4233-499b-a13a-77a31ae9fa68}" ref="H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Edjane 4587206
</t>
      </text>
    </comment>
    <comment authorId="23" xr:uid="{a7de3aad-cbca-4969-8572-3ba637a2cc34}" ref="O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Flordenis 4615492
</t>
      </text>
    </comment>
    <comment authorId="24" xr:uid="{ac019819-a25d-4aa0-a216-b168de9c2fb3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Roberth 4600646
</t>
      </text>
    </comment>
    <comment authorId="25" xr:uid="{af182078-cee3-4cec-b726-25ddba180d4e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Caio 4604083
</t>
      </text>
    </comment>
    <comment authorId="26" xr:uid="{b6291444-62e8-43c2-919a-08d95f4af50d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Zelia 4597311
</t>
      </text>
    </comment>
    <comment authorId="27" xr:uid="{b8befe64-9157-4777-86dd-917d721e43d0}" ref="O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Gilberto 4609807
</t>
      </text>
    </comment>
    <comment authorId="28" xr:uid="{be8604dd-0560-4c59-9d0e-f6607c5d0860}" ref="N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Genival 4611360
</t>
      </text>
    </comment>
    <comment authorId="29" xr:uid="{bf455af2-a9de-4671-bb1b-440e110b7be2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Josiana 4603178
</t>
      </text>
    </comment>
    <comment authorId="30" xr:uid="{c90a0749-3e8d-48b5-9d3a-a123877fb1f9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Ivone 4573215
</t>
      </text>
    </comment>
    <comment authorId="31" xr:uid="{d1a3f864-8921-41a7-b5b3-92175f70feac}" ref="C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Cosmo 4600923
</t>
      </text>
    </comment>
    <comment authorId="32" xr:uid="{d325c5bf-f66e-4445-a5d4-cc694c0943bb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Eduardo 4616437
</t>
      </text>
    </comment>
    <comment authorId="33" xr:uid="{dac19b07-8f00-4032-813b-83ee9a9e1232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Jacyra 4588340
</t>
      </text>
    </comment>
    <comment authorId="34" xr:uid="{f4749648-51b3-4850-abac-b6f3cf40ff7a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Regiane 4586965
</t>
      </text>
    </comment>
    <comment authorId="35" xr:uid="{f6e46966-edd2-41a9-812d-dda25a36c356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Caio 4604083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tc={04e9bb72-b9fe-4e28-97b2-3950a3a9c783}</author>
    <author>tc={0e5db37e-08de-4c2c-895e-caa9f9b2c606}</author>
    <author>tc={0f37ad07-3144-4d43-8525-24141a9e1385}</author>
    <author>tc={162984fb-9b62-41dc-973d-a7e1f4400e09}</author>
    <author>tc={170ff570-c0ac-4b4a-acf0-3f933f857cd8}</author>
    <author>tc={27025fbc-4229-4441-87ef-8139daf68d9c}</author>
    <author>tc={2e872d94-4356-40f1-8773-cd0048d64ea0}</author>
    <author>tc={3979993d-f1ea-4dc0-8ddf-3e4ac9483420}</author>
    <author>tc={4257a098-0ac2-4613-8c9e-b9e5d3602a0f}</author>
    <author>tc={4f83ad86-884a-41f6-a7d6-69d71bb4e7fa}</author>
    <author>tc={50c1c4b6-cfb4-4a66-81c7-80149b29c3c2}</author>
    <author>tc={5195f150-cdd6-4bf8-a84f-bd3cac9c80ba}</author>
    <author>tc={52b32df2-add3-41ad-9c65-364965a8f3c1}</author>
    <author>tc={5400120e-3d66-415a-b75a-7401868a343f}</author>
    <author>tc={5404680b-7b2d-4b87-95e0-6e3f5bf685aa}</author>
    <author>tc={57085359-d5c0-4ae9-9370-8190f5c01d69}</author>
    <author>tc={58b48630-23de-4249-80a1-277959f953ce}</author>
    <author>tc={5ec3c430-c85b-4fcf-98b0-46b0ade1a6fb}</author>
    <author>tc={69fedd41-6280-4bac-bef7-daafb5e5b011}</author>
    <author>tc={6ab4af95-ae26-49b1-841a-6506112774f6}</author>
    <author>tc={6d3cd0c0-7fba-46dd-9575-e289283b77b9}</author>
    <author>tc={78d4a728-8f8b-4c0c-9c5c-b231de319416}</author>
    <author>tc={7b4299ff-b122-477c-a976-64a1a7595c53}</author>
    <author>tc={7bbb9522-4acd-4450-8484-45b7da256678}</author>
    <author>tc={7e80f4da-e577-413e-96bd-afd396c5fb91}</author>
    <author>tc={8229221d-b2e6-432c-a228-02bad998e1c3}</author>
    <author>tc={98c35cda-be6c-46da-9ea7-4da907d12a15}</author>
    <author>tc={99dd2965-9355-4a5e-b795-1e49594cf575}</author>
    <author>tc={9e289ca2-a73b-4920-a3b9-319ea40b1d18}</author>
    <author>tc={a7913253-9a12-40e5-8851-fe58e7eab07e}</author>
    <author>tc={a7f9cdf5-bb08-4e3d-9c44-91c3ab0e74d0}</author>
    <author>tc={ac0b99b3-ba0c-488a-8bc3-93c29ce03635}</author>
    <author>tc={ad6a4148-b6eb-4612-9a40-38611a5b2509}</author>
    <author>tc={b12cb65a-094e-4fc3-815d-ccbd7b5a7dea}</author>
    <author>tc={b224f404-d08d-4460-bb97-2775f5d938fa}</author>
    <author>tc={c5f8a0d2-37ea-43be-85f4-1aa7398d40b4}</author>
    <author>tc={cb6dffec-fb30-439c-8f5f-ebde86f7067e}</author>
    <author>tc={cf7d2cd2-a34f-49cc-92a0-692b0a61d6de}</author>
    <author>tc={cf877e06-5fc0-4e14-89dc-fbc9a3fc5e4f}</author>
    <author>tc={dc9cf24a-587a-482b-881e-e0cab330b710}</author>
    <author>tc={df65333f-7e41-4375-8608-3468170ff972}</author>
    <author>tc={e1009cee-9b37-454f-a021-39363e14cb30}</author>
    <author>tc={e3a58d26-fe3c-4993-abcb-14607ab0efdd}</author>
    <author>tc={e7a373cf-2996-40cb-b02c-47d753b4b777}</author>
    <author>tc={ebb4a66e-11ef-4911-ad7f-f41e71583e28}</author>
    <author>tc={f30baa9b-fba2-4b90-9a16-2133aa1036e4}</author>
    <author>tc={f7689aea-7771-4154-b358-73b3eeabfce6}</author>
    <author>tc={f89a3cd4-8391-48a2-839b-0a3e82ee8b1d}</author>
    <author>tc={ff653597-cb01-4098-b180-8531e895886d}</author>
  </authors>
  <commentList>
    <comment authorId="0" xr:uid="{04e9bb72-b9fe-4e28-97b2-3950a3a9c783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Caio 4604083
</t>
      </text>
    </comment>
    <comment authorId="1" xr:uid="{0e5db37e-08de-4c2c-895e-caa9f9b2c606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 4627801
</t>
      </text>
    </comment>
    <comment authorId="2" xr:uid="{0f37ad07-3144-4d43-8525-24141a9e1385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 Carmen 4635612
Óbito Edineia 4623791
</t>
      </text>
    </comment>
    <comment authorId="3" xr:uid="{162984fb-9b62-41dc-973d-a7e1f4400e09}" ref="D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para UTI C - Paulo 4621184
</t>
      </text>
    </comment>
    <comment authorId="4" xr:uid="{170ff570-c0ac-4b4a-acf0-3f933f857cd8}" ref="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Pedro 4614673
</t>
      </text>
    </comment>
    <comment authorId="5" xr:uid="{27025fbc-4229-4441-87ef-8139daf68d9c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Jose 4605893
</t>
      </text>
    </comment>
    <comment authorId="6" xr:uid="{2e872d94-4356-40f1-8773-cd0048d64ea0}" ref="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Tiago 4635796
Arany 4627695
</t>
      </text>
    </comment>
    <comment authorId="7" xr:uid="{3979993d-f1ea-4dc0-8ddf-3e4ac9483420}" ref="F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para UTI C Luiz 4603460
</t>
      </text>
    </comment>
    <comment authorId="8" xr:uid="{4257a098-0ac2-4613-8c9e-b9e5d3602a0f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Carmen 4635612
</t>
      </text>
    </comment>
    <comment authorId="9" xr:uid="{4f83ad86-884a-41f6-a7d6-69d71bb4e7fa}" ref="Q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Arany 4627695
Transferência Uti A - Paulo 4621184
</t>
      </text>
    </comment>
    <comment authorId="10" xr:uid="{50c1c4b6-cfb4-4a66-81c7-80149b29c3c2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Vanderley 4623722
</t>
      </text>
    </comment>
    <comment authorId="11" xr:uid="{5195f150-cdd6-4bf8-a84f-bd3cac9c80ba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Maria 4642672
</t>
      </text>
    </comment>
    <comment authorId="12" xr:uid="{52b32df2-add3-41ad-9c65-364965a8f3c1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Irineu 4617907
</t>
      </text>
    </comment>
    <comment authorId="13" xr:uid="{5400120e-3d66-415a-b75a-7401868a343f}" ref="N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Roberth 4600646
</t>
      </text>
    </comment>
    <comment authorId="14" xr:uid="{5404680b-7b2d-4b87-95e0-6e3f5bf685aa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óbito no mesmo dia - Alex 4627801
</t>
      </text>
    </comment>
    <comment authorId="15" xr:uid="{57085359-d5c0-4ae9-9370-8190f5c01d69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Flordenis 4615492
</t>
      </text>
    </comment>
    <comment authorId="16" xr:uid="{58b48630-23de-4249-80a1-277959f953ce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 4642672
</t>
      </text>
    </comment>
    <comment authorId="17" xr:uid="{5ec3c430-c85b-4fcf-98b0-46b0ade1a6fb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Alex 4627801 Admissão e óbito no mesmo dia
</t>
      </text>
    </comment>
    <comment authorId="18" xr:uid="{69fedd41-6280-4bac-bef7-daafb5e5b011}" ref="G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Edineia 4623791
</t>
      </text>
    </comment>
    <comment authorId="19" xr:uid="{6ab4af95-ae26-49b1-841a-6506112774f6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Vanderley 4623722
Jose 4605893
Jose 4622310
</t>
      </text>
    </comment>
    <comment authorId="20" xr:uid="{6d3cd0c0-7fba-46dd-9575-e289283b77b9}" ref="R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Irineu 4617907
Óbito Jose 4605893
</t>
      </text>
    </comment>
    <comment authorId="21" xr:uid="{78d4a728-8f8b-4c0c-9c5c-b231de319416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Edineia 4623791
</t>
      </text>
    </comment>
    <comment authorId="22" xr:uid="{7b4299ff-b122-477c-a976-64a1a7595c53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Andre 4630528
</t>
      </text>
    </comment>
    <comment authorId="23" xr:uid="{7bbb9522-4acd-4450-8484-45b7da256678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Willian 4615565
</t>
      </text>
    </comment>
    <comment authorId="24" xr:uid="{7e80f4da-e577-413e-96bd-afd396c5fb91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Maria 4635446
</t>
      </text>
    </comment>
    <comment authorId="25" xr:uid="{8229221d-b2e6-432c-a228-02bad998e1c3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João 4623375
</t>
      </text>
    </comment>
    <comment authorId="26" xr:uid="{98c35cda-be6c-46da-9ea7-4da907d12a15}" ref="B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Maria 4635446
</t>
      </text>
    </comment>
    <comment authorId="27" xr:uid="{99dd2965-9355-4a5e-b795-1e49594cf575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Rosana 4623641
</t>
      </text>
    </comment>
    <comment authorId="28" xr:uid="{9e289ca2-a73b-4920-a3b9-319ea40b1d18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Cecilia 4621316
</t>
      </text>
    </comment>
    <comment authorId="29" xr:uid="{a7913253-9a12-40e5-8851-fe58e7eab07e}" ref="P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Paulo 4621184
</t>
      </text>
    </comment>
    <comment authorId="30" xr:uid="{a7f9cdf5-bb08-4e3d-9c44-91c3ab0e74d0}" ref="R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 Luiz 4603460
</t>
      </text>
    </comment>
    <comment authorId="31" xr:uid="{ac0b99b3-ba0c-488a-8bc3-93c29ce03635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Pedro 4614673
</t>
      </text>
    </comment>
    <comment authorId="32" xr:uid="{ad6a4148-b6eb-4612-9a40-38611a5b2509}" ref="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Irineu 4617907
</t>
      </text>
    </comment>
    <comment authorId="33" xr:uid="{b12cb65a-094e-4fc3-815d-ccbd7b5a7dea}" ref="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Transferido da UTI B Luiz 4603460
</t>
      </text>
    </comment>
    <comment authorId="34" xr:uid="{b224f404-d08d-4460-bb97-2775f5d938fa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Flordenis 4615492
</t>
      </text>
    </comment>
    <comment authorId="35" xr:uid="{c5f8a0d2-37ea-43be-85f4-1aa7398d40b4}" ref="E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Paulo 4621184
</t>
      </text>
    </comment>
    <comment authorId="36" xr:uid="{cb6dffec-fb30-439c-8f5f-ebde86f7067e}" ref="Q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Jose 4622310
</t>
      </text>
    </comment>
    <comment authorId="37" xr:uid="{cf7d2cd2-a34f-49cc-92a0-692b0a61d6de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Vilma 4607420
</t>
      </text>
    </comment>
    <comment authorId="38" xr:uid="{cf877e06-5fc0-4e14-89dc-fbc9a3fc5e4f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João 4614476
</t>
      </text>
    </comment>
    <comment authorId="39" xr:uid="{dc9cf24a-587a-482b-881e-e0cab330b710}" ref="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Paulo 4621184
</t>
      </text>
    </comment>
    <comment authorId="40" xr:uid="{df65333f-7e41-4375-8608-3468170ff972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Rosana 4623641
</t>
      </text>
    </comment>
    <comment authorId="41" xr:uid="{e1009cee-9b37-454f-a021-39363e14cb30}" ref="Q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4605893
</t>
      </text>
    </comment>
    <comment authorId="42" xr:uid="{e3a58d26-fe3c-4993-abcb-14607ab0efdd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João 4623375
</t>
      </text>
    </comment>
    <comment authorId="43" xr:uid="{e7a373cf-2996-40cb-b02c-47d753b4b777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Cecilia 4621316
</t>
      </text>
    </comment>
    <comment authorId="44" xr:uid="{ebb4a66e-11ef-4911-ad7f-f41e71583e28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Alex 4627801
</t>
      </text>
    </comment>
    <comment authorId="45" xr:uid="{f30baa9b-fba2-4b90-9a16-2133aa1036e4}" ref="G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Sebastião 4646512
</t>
      </text>
    </comment>
    <comment authorId="46" xr:uid="{f7689aea-7771-4154-b358-73b3eeabfce6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Edineia 4623791
Óbito Vilma 4607420
</t>
      </text>
    </comment>
    <comment authorId="47" xr:uid="{f89a3cd4-8391-48a2-839b-0a3e82ee8b1d}" ref="C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Anderson 4611911
ADM Andre 4630528
</t>
      </text>
    </comment>
    <comment authorId="48" xr:uid="{ff653597-cb01-4098-b180-8531e895886d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Gilberto 4609807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tc={04b42f12-8712-48d2-90ef-1c43a0dca998}</author>
    <author>tc={083b5d22-c57e-4b26-a678-ce0ebe0a859d}</author>
    <author>tc={09f0c76c-33bc-4151-8c14-e90e022acdb1}</author>
    <author>tc={0ae7b45c-fc58-43d8-bbbb-d4a91f2628d9}</author>
    <author>tc={0b299d72-0798-4b95-8a6c-b3ae1b5bab85}</author>
    <author>tc={0e421dce-c310-4dce-ba67-04d88a0506cf}</author>
    <author>tc={0e64431c-459c-49df-9e5e-b61fcf47a4f5}</author>
    <author>tc={1c65b482-0585-4a67-9907-ebd05cac20dc}</author>
    <author>tc={1f54acec-e960-448f-80a9-b8b24e8fbc1f}</author>
    <author>tc={27984555-30c5-4304-9e5d-854f22072509}</author>
    <author>tc={2a76d400-106b-4d63-917d-213332ba8fbe}</author>
    <author>tc={2b4c20f4-fa50-419c-bb05-c8757a09ba0d}</author>
    <author>tc={3336cb08-e7cd-4b7b-b39a-dfb3879c06b6}</author>
    <author>tc={35c4db03-c3d7-46ff-ba60-8df3c7b7fc55}</author>
    <author>tc={35ea2b5a-66c4-4420-86b3-a16159703b05}</author>
    <author>tc={373a2775-8e02-4888-8c1a-21f001afc4da}</author>
    <author>tc={3991cad7-85e2-4bd9-b07b-6601a01c0920}</author>
    <author>tc={39a0d6f9-4548-4bed-828d-f2d91d684bd2}</author>
    <author>tc={3c231f00-c9e3-44d2-883a-dce2a2cbebc4}</author>
    <author>tc={41585293-dc25-4f24-85b6-3f5bf6119a37}</author>
    <author>tc={4290e48f-b0cb-4ccc-9015-4ac9ceb886d1}</author>
    <author>tc={444e4cc7-49e8-47d0-8391-3500c77cd23c}</author>
    <author>tc={448015ce-352d-44c0-b125-68bfe41f44e4}</author>
    <author>tc={45deb5d0-6b5d-4131-affc-ee44ea956a8c}</author>
    <author>tc={505bbf31-e8a5-4ade-ac19-ba9943a46789}</author>
    <author>tc={52387e5d-75c4-44c4-9226-278d8c7d1eb0}</author>
    <author>tc={543494b2-7062-4cee-950e-7d40d9b23c00}</author>
    <author>tc={54824006-926c-4fc5-a479-4b015212e0ae}</author>
    <author>tc={61542fe0-2d85-483d-8fa4-1ca76ab2b6a7}</author>
    <author>tc={6e308115-6037-4d10-9bd7-8c2b331516b0}</author>
    <author>tc={725312ff-b654-4e5d-9d11-f767e0f9a8ac}</author>
    <author>tc={7351e83e-a2d6-492d-b34d-b53a54472779}</author>
    <author>tc={7644bbe1-9071-4ecf-a20b-8bb8a3ae394c}</author>
    <author>tc={76622685-0e43-4a8b-904d-1c41c1c82da3}</author>
    <author>tc={7b4fe9a5-2bbc-4353-b49e-d48bfcc1461e}</author>
    <author>tc={7d000e3c-bfa9-4148-84d1-18201efb419a}</author>
    <author>tc={8694f621-837d-4bd5-86d2-821fe471cf82}</author>
    <author>tc={86b73609-dace-4ef6-ac5d-d264e1b58ed4}</author>
    <author>tc={87b6d450-eeff-4ecd-a560-071e329419c2}</author>
    <author>tc={8cc23ce8-9c4e-4f46-9d34-ac485ab07d3a}</author>
    <author>tc={8e032c76-f43b-4712-b50e-03c9d61671fd}</author>
    <author>tc={8e3c3058-1f76-4673-b8b8-07d9d0b02ad0}</author>
    <author>tc={8fe65187-69de-436d-ba72-a0ce2f513057}</author>
    <author>tc={9334b841-d814-4922-9a83-04c73533c4b1}</author>
    <author>tc={9586b922-8c6b-4d52-8121-5aa20d6a6f4f}</author>
    <author>tc={96fa48e8-80cf-4f9f-90d7-9628b37e9222}</author>
    <author>tc={99aeb59f-8902-4fdd-ad8b-496a2e3d68e2}</author>
    <author>tc={9ce26b66-56a9-4f29-86e5-7aae685735e4}</author>
    <author>tc={aa976c0a-7957-4125-bcff-fb2f0f99a53e}</author>
    <author>tc={b00c1114-b185-4738-afd8-4c1bfc43393e}</author>
    <author>tc={b5f56415-1387-4559-8530-de7ff7d256ee}</author>
    <author>tc={b61fe75c-d2e8-422f-a6d7-506980a08d7a}</author>
    <author>tc={bc92161d-5a96-4e34-a199-124161f5ccc8}</author>
    <author>tc={ca9d4d5b-46fe-4316-b7eb-ba950f867d6a}</author>
    <author>tc={cbfa8761-e371-4707-bb13-7648d75bf842}</author>
    <author>tc={cc6b1ede-4750-4ce0-92ff-77c1c74b8f9b}</author>
    <author>tc={cd2adfa4-6c4f-4be4-a219-6838a9d7689d}</author>
    <author>tc={cf32e7d1-308c-4769-b7a4-646036786389}</author>
    <author>tc={cfa51157-a511-4d28-858c-e4a471587868}</author>
    <author>tc={e43b1ac7-2ee7-4b10-9889-4fec8ac87903}</author>
    <author>tc={e845bf43-50d7-4eb3-9ab5-a784c6137b0b}</author>
    <author>tc={f150b263-057d-4aa8-b31c-446d1878cefe}</author>
    <author>tc={f458e2c9-16e9-4ec6-a544-d259650d6893}</author>
    <author>tc={f9436be2-1cc5-4497-b06a-04f6c0ba2f7a}</author>
    <author>tc={fc793e0b-3de5-4a24-ae70-0ac5900a4f3a}</author>
  </authors>
  <commentList>
    <comment authorId="0" xr:uid="{04b42f12-8712-48d2-90ef-1c43a0dca998}" ref="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Arany 4627695
</t>
      </text>
    </comment>
    <comment authorId="1" xr:uid="{083b5d22-c57e-4b26-a678-ce0ebe0a859d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Arany 4627695
</t>
      </text>
    </comment>
    <comment authorId="2" xr:uid="{09f0c76c-33bc-4151-8c14-e90e022acdb1}" ref="B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- Vanderley 4623722
</t>
      </text>
    </comment>
    <comment authorId="3" xr:uid="{0ae7b45c-fc58-43d8-bbbb-d4a91f2628d9}" ref="N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Vanderley 4623722
</t>
      </text>
    </comment>
    <comment authorId="4" xr:uid="{0b299d72-0798-4b95-8a6c-b3ae1b5bab85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Maria 4668546
Adm Luiz 4664942
</t>
      </text>
    </comment>
    <comment authorId="5" xr:uid="{0e421dce-c310-4dce-ba67-04d88a0506cf}" ref="Q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Sonia 4640871
</t>
      </text>
    </comment>
    <comment authorId="6" xr:uid="{0e64431c-459c-49df-9e5e-b61fcf47a4f5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Sebastião 4661938
</t>
      </text>
    </comment>
    <comment authorId="7" xr:uid="{1c65b482-0585-4a67-9907-ebd05cac20dc}" ref="F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Antonio 4664565
</t>
      </text>
    </comment>
    <comment authorId="8" xr:uid="{1f54acec-e960-448f-80a9-b8b24e8fbc1f}" ref="E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Fatima 4662295
</t>
      </text>
    </comment>
    <comment authorId="9" xr:uid="{27984555-30c5-4304-9e5d-854f22072509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Anderson 4611911
</t>
      </text>
    </comment>
    <comment authorId="10" xr:uid="{2a76d400-106b-4d63-917d-213332ba8fbe}" ref="B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Jose 4643977
</t>
      </text>
    </comment>
    <comment authorId="11" xr:uid="{2b4c20f4-fa50-419c-bb05-c8757a09ba0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Hugo 4632958
</t>
      </text>
    </comment>
    <comment authorId="12" xr:uid="{3336cb08-e7cd-4b7b-b39a-dfb3879c06b6}" ref="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Sonia 4661025
</t>
      </text>
    </comment>
    <comment authorId="13" xr:uid="{35c4db03-c3d7-46ff-ba60-8df3c7b7fc55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Claudia 4655480
Jose 4643977
</t>
      </text>
    </comment>
    <comment authorId="14" xr:uid="{35ea2b5a-66c4-4420-86b3-a16159703b05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Rosana 4623641
</t>
      </text>
    </comment>
    <comment authorId="15" xr:uid="{373a2775-8e02-4888-8c1a-21f001afc4da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Luiz 4664877
Marcelo 4658148
</t>
      </text>
    </comment>
    <comment authorId="16" xr:uid="{3991cad7-85e2-4bd9-b07b-6601a01c0920}" ref="C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Transf. da UTI C - Joseane 4654512
</t>
      </text>
    </comment>
    <comment authorId="17" xr:uid="{39a0d6f9-4548-4bed-828d-f2d91d684bd2}" ref="D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Daniel 4644184
</t>
      </text>
    </comment>
    <comment authorId="18" xr:uid="{3c231f00-c9e3-44d2-883a-dce2a2cbebc4}" ref="B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William 4664783
</t>
      </text>
    </comment>
    <comment authorId="19" xr:uid="{41585293-dc25-4f24-85b6-3f5bf6119a37}" ref="F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- Vanderley 4623722
</t>
      </text>
    </comment>
    <comment authorId="20" xr:uid="{4290e48f-b0cb-4ccc-9015-4ac9ceb886d1}" ref="G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Edson 4659596
</t>
      </text>
    </comment>
    <comment authorId="21" xr:uid="{444e4cc7-49e8-47d0-8391-3500c77cd23c}" ref="Q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Claudio 4643751
</t>
      </text>
    </comment>
    <comment authorId="22" xr:uid="{448015ce-352d-44c0-b125-68bfe41f44e4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Claudia 4655480
</t>
      </text>
    </comment>
    <comment authorId="23" xr:uid="{45deb5d0-6b5d-4131-affc-ee44ea956a8c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Luiz 4664877
Alta Maria 4668546
</t>
      </text>
    </comment>
    <comment authorId="24" xr:uid="{505bbf31-e8a5-4ade-ac19-ba9943a46789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Helena 4662270
</t>
      </text>
    </comment>
    <comment authorId="25" xr:uid="{52387e5d-75c4-44c4-9226-278d8c7d1eb0}" ref="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Jose 4622310
</t>
      </text>
    </comment>
    <comment authorId="26" xr:uid="{543494b2-7062-4cee-950e-7d40d9b23c00}" ref="E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Rodrigo 4675784
</t>
      </text>
    </comment>
    <comment authorId="27" xr:uid="{54824006-926c-4fc5-a479-4b015212e0ae}" ref="P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Eliel 4651113
</t>
      </text>
    </comment>
    <comment authorId="28" xr:uid="{61542fe0-2d85-483d-8fa4-1ca76ab2b6a7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Eliel 4651113
</t>
      </text>
    </comment>
    <comment authorId="29" xr:uid="{6e308115-6037-4d10-9bd7-8c2b331516b0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Hugo 4632958
Readmissão - Vanderley 4623722
</t>
      </text>
    </comment>
    <comment authorId="30" xr:uid="{725312ff-b654-4e5d-9d11-f767e0f9a8ac}" ref="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Edson 4659596
</t>
      </text>
    </comment>
    <comment authorId="31" xr:uid="{7351e83e-a2d6-492d-b34d-b53a54472779}" ref="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Benedita 4645501 (positivou e teve alta no mesmo dia)
</t>
      </text>
    </comment>
    <comment authorId="32" xr:uid="{7644bbe1-9071-4ecf-a20b-8bb8a3ae394c}" ref="R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Sonia 4661025
</t>
      </text>
    </comment>
    <comment authorId="33" xr:uid="{76622685-0e43-4a8b-904d-1c41c1c82da3}" ref="B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Rosana 4623641
</t>
      </text>
    </comment>
    <comment authorId="34" xr:uid="{7b4fe9a5-2bbc-4353-b49e-d48bfcc1461e}" ref="S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Carlos 4668618
</t>
      </text>
    </comment>
    <comment authorId="35" xr:uid="{7d000e3c-bfa9-4148-84d1-18201efb419a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Vitoria 4664590
</t>
      </text>
    </comment>
    <comment authorId="36" xr:uid="{8694f621-837d-4bd5-86d2-821fe471cf82}" ref="R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Tiago 4635796
</t>
      </text>
    </comment>
    <comment authorId="37" xr:uid="{86b73609-dace-4ef6-ac5d-d264e1b58ed4}" ref="AA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Pedro 4656734
</t>
      </text>
    </comment>
    <comment authorId="38" xr:uid="{87b6d450-eeff-4ecd-a560-071e329419c2}" ref="P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Jose 4622310
</t>
      </text>
    </comment>
    <comment authorId="39" xr:uid="{8cc23ce8-9c4e-4f46-9d34-ac485ab07d3a}" ref="F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Vitoria 4664590
</t>
      </text>
    </comment>
    <comment authorId="40" xr:uid="{8e032c76-f43b-4712-b50e-03c9d61671fd}" ref="Q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Yara 4673913
</t>
      </text>
    </comment>
    <comment authorId="41" xr:uid="{8e3c3058-1f76-4673-b8b8-07d9d0b02ad0}" ref="C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Marisandra 4668619
</t>
      </text>
    </comment>
    <comment authorId="42" xr:uid="{8fe65187-69de-436d-ba72-a0ce2f513057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Marisandra 4668619
</t>
      </text>
    </comment>
    <comment authorId="43" xr:uid="{9334b841-d814-4922-9a83-04c73533c4b1}" ref="G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 4664565
</t>
      </text>
    </comment>
    <comment authorId="44" xr:uid="{9586b922-8c6b-4d52-8121-5aa20d6a6f4f}" ref="E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Daniel 4644184
Gabriel 4633206
</t>
      </text>
    </comment>
    <comment authorId="45" xr:uid="{96fa48e8-80cf-4f9f-90d7-9628b37e9222}" ref="O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Admissão e transf. p/ UTI B no mesmo dia -  Joseane 4654512
Admissão e óbito no mesmo dia - Jose 4652502
</t>
      </text>
    </comment>
    <comment authorId="46" xr:uid="{99aeb59f-8902-4fdd-ad8b-496a2e3d68e2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Vanderley 4623722
</t>
      </text>
    </comment>
    <comment authorId="47" xr:uid="{9ce26b66-56a9-4f29-86e5-7aae685735e4}" ref="F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João 4645583 (reinternação)
</t>
      </text>
    </comment>
    <comment authorId="48" xr:uid="{aa976c0a-7957-4125-bcff-fb2f0f99a53e}" ref="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Yan 4656583
</t>
      </text>
    </comment>
    <comment authorId="49" xr:uid="{b00c1114-b185-4738-afd8-4c1bfc43393e}" ref="B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Luiz 4664942
</t>
      </text>
    </comment>
    <comment authorId="50" xr:uid="{b5f56415-1387-4559-8530-de7ff7d256ee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Positivo e óbito no mesmo dia - Jose 4646602
</t>
      </text>
    </comment>
    <comment authorId="51" xr:uid="{b61fe75c-d2e8-422f-a6d7-506980a08d7a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William 4664783 - Reinternação
</t>
      </text>
    </comment>
    <comment authorId="52" xr:uid="{bc92161d-5a96-4e34-a199-124161f5ccc8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Carlos 4668618
</t>
      </text>
    </comment>
    <comment authorId="53" xr:uid="{ca9d4d5b-46fe-4316-b7eb-ba950f867d6a}" ref="F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João 4645583
Alta Sebastiao 4646512
</t>
      </text>
    </comment>
    <comment authorId="54" xr:uid="{cbfa8761-e371-4707-bb13-7648d75bf842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- Vanderley 4623722
</t>
      </text>
    </comment>
    <comment authorId="55" xr:uid="{cc6b1ede-4750-4ce0-92ff-77c1c74b8f9b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Gabriel 4633206
</t>
      </text>
    </comment>
    <comment authorId="56" xr:uid="{cd2adfa4-6c4f-4be4-a219-6838a9d7689d}" ref="Q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Sonia 4661025
</t>
      </text>
    </comment>
    <comment authorId="57" xr:uid="{cf32e7d1-308c-4769-b7a4-646036786389}" ref="Z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Pedro 4656734
</t>
      </text>
    </comment>
    <comment authorId="58" xr:uid="{cfa51157-a511-4d28-858c-e4a471587868}" ref="B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Joseane 4654512
</t>
      </text>
    </comment>
    <comment authorId="59" xr:uid="{e43b1ac7-2ee7-4b10-9889-4fec8ac87903}" ref="S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Sonia 4640871
</t>
      </text>
    </comment>
    <comment authorId="60" xr:uid="{e845bf43-50d7-4eb3-9ab5-a784c6137b0b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Levi 4640139
</t>
      </text>
    </comment>
    <comment authorId="61" xr:uid="{f150b263-057d-4aa8-b31c-446d1878cefe}" ref="P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Sonia 4661025
</t>
      </text>
    </comment>
    <comment authorId="62" xr:uid="{f458e2c9-16e9-4ec6-a544-d259650d6893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Joseane 4654512 (Reinternação)
</t>
      </text>
    </comment>
    <comment authorId="63" xr:uid="{f9436be2-1cc5-4497-b06a-04f6c0ba2f7a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Sebastião 4661938
Positivou e óbito no mesmo dia  Joseane 4654512
</t>
      </text>
    </comment>
    <comment authorId="64" xr:uid="{fc793e0b-3de5-4a24-ae70-0ac5900a4f3a}" ref="O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Rogério 4677716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tc={00fd26ef-6a45-47cb-b492-80c630c97d59}</author>
    <author>tc={051995e4-ffe7-46e3-9ed9-a4129356aa7f}</author>
    <author>tc={056e42d0-98e2-47de-8960-829cdfcbd888}</author>
    <author>tc={058f72ba-4c5d-47c2-85ac-c9f5f0a43dc3}</author>
    <author>tc={06871888-55b6-41ec-940b-ef681402e730}</author>
    <author>tc={07808d34-4ba3-4836-bb1f-c6e398990b12}</author>
    <author>tc={07f8c506-f3c6-41bc-85d8-ad43796dca31}</author>
    <author>tc={09603286-b3b7-4cd5-bd1c-dcd01e323e2e}</author>
    <author>tc={14beac9e-4343-4b22-8355-f75b936fa046}</author>
    <author>tc={1601124c-d3ed-4b99-83ea-8c71c9b6abd9}</author>
    <author>tc={17885ff9-7b80-42d8-aa23-afaa05670def}</author>
    <author>tc={21818fe8-eb67-4b19-abfe-c0d3b7d92eea}</author>
    <author>tc={21a94906-62ac-47ce-9d07-1f148a49c0ef}</author>
    <author>tc={22015eef-88c3-45b7-b6c0-18ad5cd2931c}</author>
    <author>tc={252cd401-c107-4757-813f-a1f2cc74aeda}</author>
    <author>tc={26e41aaa-3e28-4a5b-8ba5-ae391c331ab1}</author>
    <author>tc={27c10392-ab13-49ac-b5b1-5e1b6d97d921}</author>
    <author>tc={285fa9df-a252-4755-8be7-1f8255f1f654}</author>
    <author>tc={306d012a-ff1d-4225-bf01-0986183b77a2}</author>
    <author>tc={31544f60-c518-4953-a343-2aba4076a525}</author>
    <author>tc={3258d8b0-6a03-4228-bac0-21e432f0b224}</author>
    <author>tc={365ec1c4-2262-4dce-b8dd-f06930855811}</author>
    <author>tc={379f2f08-0e7d-4e5e-9b8c-d8787710727a}</author>
    <author>tc={3b9934fe-3118-46fd-832e-213398fed0dd}</author>
    <author>tc={3d30aa95-8153-477c-b7d8-7a57bb49bfe7}</author>
    <author>tc={3d6d7a10-b248-4657-a90d-850125b471b0}</author>
    <author>tc={3ec0bbab-131c-4a64-b2d9-1c838557f523}</author>
    <author>tc={443bfcf1-6e29-4d60-98a6-d7d558a28e71}</author>
    <author>tc={45450716-3f23-4708-8d99-b0bc38fdec21}</author>
    <author>tc={455fb841-549c-43d5-981d-a0edd3356f07}</author>
    <author>tc={48e349ae-1005-4ce1-b9b7-6f0a86a9a04e}</author>
    <author>tc={49262c84-7048-4b87-9bae-e1f8d1c52e55}</author>
    <author>tc={4eff663a-e419-4cc3-beda-351aa1eafae5}</author>
    <author>tc={67e2d6fc-6c1b-4ad5-886d-a1a1e8b00b36}</author>
    <author>tc={6a87767e-428a-4415-ab45-8edb41f8ec25}</author>
    <author>tc={6ab974d2-71f9-4dbd-bf00-d6fafe300642}</author>
    <author>tc={6df1c1f5-f8a9-4c20-b21d-280eb02e221b}</author>
    <author>tc={72070525-652a-42a7-97ec-d51950a9855b}</author>
    <author>tc={723a8e3d-ee61-4092-829f-29654832c51c}</author>
    <author>tc={74aeda6f-41a3-4e2a-895b-f3e452a4eab8}</author>
    <author>tc={77666cdb-7323-4145-bef5-e2c6f3579197}</author>
    <author>tc={7d60639b-e27e-47a2-8ef6-9fc85115b9b3}</author>
    <author>tc={7f18ffb9-ebca-4d3e-8d57-3d4863be70d6}</author>
    <author>tc={7f71e4d2-f13f-4a44-8556-18fb3e45b10d}</author>
    <author>tc={825fac58-8b0d-426e-b35e-23a5b07763bb}</author>
    <author>tc={87cf52ed-343a-492d-a0fe-b7d3f3bfac8b}</author>
    <author>tc={893fda8d-1ea5-451e-8c21-5d654c68c923}</author>
    <author>tc={8abeffc7-419c-4564-b7be-28795a408351}</author>
    <author>tc={901bc335-a4a1-4930-b038-e90da0b561b2}</author>
    <author>tc={932ce31c-ba0d-4197-90b2-29498b3b8f6f}</author>
    <author>tc={973f9f0e-ea92-46e7-9501-c02afd4f2074}</author>
    <author>tc={98143e73-8339-4a4b-a4b1-8a8d0f2dc6b0}</author>
    <author>tc={9852f880-a99b-493b-a2ff-61238b74e5dd}</author>
    <author>tc={9ac8846c-42b5-496f-8489-9e0ad0a7e647}</author>
    <author>tc={9c27a4ab-403d-406b-b2eb-ddb97cb22b0d}</author>
    <author>tc={9db45ea4-b811-4ff7-810d-7bde19e1017b}</author>
    <author>tc={9e947600-f53c-4dab-8fff-d53a1d3db95d}</author>
    <author>tc={9ea298df-1aaa-4ab8-b559-1b7ef25e47af}</author>
    <author>tc={a2e6ff85-c90f-4c50-b73f-848caf97aa0a}</author>
    <author>tc={a381b43b-dd60-4d83-b856-1f37f01b4163}</author>
    <author>tc={a6eec409-46bb-4b4f-a315-c8f366a1f072}</author>
    <author>tc={ad32515c-f196-449c-a16b-67ff02fcb47e}</author>
    <author>tc={af14b3b5-fdb3-427f-a708-3a77c90a2ff9}</author>
    <author>tc={b133de8d-7b3a-45d6-a128-8efb16fa61b8}</author>
    <author>tc={b17c2ac6-ec5e-4de7-8c89-3da57f843758}</author>
    <author>tc={b3326b84-b70e-45c3-bf6a-34be6399596a}</author>
    <author>tc={b78b012b-76f8-4a13-a742-15ca390e812e}</author>
    <author>tc={b7b6e56e-59a0-4d42-be13-341605eb87cd}</author>
    <author>tc={c6ba21a1-1bcc-45a1-b84f-0d2b7b532c0a}</author>
    <author>tc={d380718b-e627-493d-9d42-9a12d0c45549}</author>
    <author>tc={d4676a87-c3e0-49ba-8a90-4af6e5d29878}</author>
    <author>tc={da272d18-bf0b-43da-bac6-b98aec2580eb}</author>
    <author>tc={dfec0329-791d-4374-93b0-7817b7b59812}</author>
    <author>tc={e1a04fec-e6bc-4456-98ec-e87884756eaf}</author>
    <author>tc={eba67505-6efd-4b93-9c39-65654458a3b2}</author>
    <author>tc={ebc57058-efc7-46c9-ae04-57f47a1b39fe}</author>
    <author>tc={ec894108-14e4-400d-9c8e-f1b74fce8d15}</author>
    <author>tc={ef83fa42-6923-479a-8d01-883a1b2048bb}</author>
    <author>tc={f0f79f34-d7a4-491a-8613-6708951c7037}</author>
    <author>tc={f115141b-5927-4ffb-8914-da52daca9d1e}</author>
    <author>tc={f7734060-bec5-45b9-8464-fd843189b43e}</author>
  </authors>
  <commentList>
    <comment authorId="0" xr:uid="{00fd26ef-6a45-47cb-b492-80c630c97d59}" ref="N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p/ UTI A Jose 4691957
</t>
      </text>
    </comment>
    <comment authorId="1" xr:uid="{051995e4-ffe7-46e3-9ed9-a4129356aa7f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Rafael 4677737
</t>
      </text>
    </comment>
    <comment authorId="2" xr:uid="{056e42d0-98e2-47de-8960-829cdfcbd888}" ref="P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Claúdio 4643751
</t>
      </text>
    </comment>
    <comment authorId="3" xr:uid="{058f72ba-4c5d-47c2-85ac-c9f5f0a43dc3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Levi 4640139
</t>
      </text>
    </comment>
    <comment authorId="4" xr:uid="{06871888-55b6-41ec-940b-ef681402e730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Antonio 4675272
</t>
      </text>
    </comment>
    <comment authorId="5" xr:uid="{07808d34-4ba3-4836-bb1f-c6e398990b12}" ref="P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Rafael 4677737
</t>
      </text>
    </comment>
    <comment authorId="6" xr:uid="{07f8c506-f3c6-41bc-85d8-ad43796dca31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Rafael 4677737
</t>
      </text>
    </comment>
    <comment authorId="7" xr:uid="{09603286-b3b7-4cd5-bd1c-dcd01e323e2e}" ref="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no mesmo dia Pedro 4688227
</t>
      </text>
    </comment>
    <comment authorId="8" xr:uid="{14beac9e-4343-4b22-8355-f75b936fa046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 4675272
</t>
      </text>
    </comment>
    <comment authorId="9" xr:uid="{1601124c-d3ed-4b99-83ea-8c71c9b6abd9}" ref="B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Rosangela 4660876
Alta Maria 4662259
</t>
      </text>
    </comment>
    <comment authorId="10" xr:uid="{17885ff9-7b80-42d8-aa23-afaa05670def}" ref="P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Rafael 4677737
Alta Eric 4684220
</t>
      </text>
    </comment>
    <comment authorId="11" xr:uid="{21818fe8-eb67-4b19-abfe-c0d3b7d92eea}" ref="F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para UTI c Rafael 4677737
</t>
      </text>
    </comment>
    <comment authorId="12" xr:uid="{21a94906-62ac-47ce-9d07-1f148a49c0ef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Rosangela 4660876
</t>
      </text>
    </comment>
    <comment authorId="13" xr:uid="{22015eef-88c3-45b7-b6c0-18ad5cd2931c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Rosangela 4660876
</t>
      </text>
    </comment>
    <comment authorId="14" xr:uid="{252cd401-c107-4757-813f-a1f2cc74aeda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Rogério 4677716
</t>
      </text>
    </comment>
    <comment authorId="15" xr:uid="{26e41aaa-3e28-4a5b-8ba5-ae391c331ab1}" ref="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p/ UTI c Rafael 4677737
</t>
      </text>
    </comment>
    <comment authorId="16" xr:uid="{27c10392-ab13-49ac-b5b1-5e1b6d97d921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Sueli 4682514
</t>
      </text>
    </comment>
    <comment authorId="17" xr:uid="{285fa9df-a252-4755-8be7-1f8255f1f654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 no mesmo dia da entrada Gabriel 4675335
</t>
      </text>
    </comment>
    <comment authorId="18" xr:uid="{306d012a-ff1d-4225-bf01-0986183b77a2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Marcelo 4658148
Alta Mauri 4701822
</t>
      </text>
    </comment>
    <comment authorId="19" xr:uid="{31544f60-c518-4953-a343-2aba4076a525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 4691957
</t>
      </text>
    </comment>
    <comment authorId="20" xr:uid="{3258d8b0-6a03-4228-bac0-21e432f0b224}" ref="O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AMD Sueli 4668615
</t>
      </text>
    </comment>
    <comment authorId="21" xr:uid="{365ec1c4-2262-4dce-b8dd-f06930855811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Gerson 4684177
Adm Antonio 4693232
</t>
      </text>
    </comment>
    <comment authorId="22" xr:uid="{379f2f08-0e7d-4e5e-9b8c-d8787710727a}" ref="E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 4675272
</t>
      </text>
    </comment>
    <comment authorId="23" xr:uid="{3b9934fe-3118-46fd-832e-213398fed0dd}" ref="C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Sebastião 4703714
</t>
      </text>
    </comment>
    <comment authorId="24" xr:uid="{3d30aa95-8153-477c-b7d8-7a57bb49bfe7}" ref="F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Antonio  4693232
</t>
      </text>
    </comment>
    <comment authorId="25" xr:uid="{3d6d7a10-b248-4657-a90d-850125b471b0}" ref="S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Yara 4673913
</t>
      </text>
    </comment>
    <comment authorId="26" xr:uid="{3ec0bbab-131c-4a64-b2d9-1c838557f523}" ref="N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Rogério 4677716
</t>
      </text>
    </comment>
    <comment authorId="27" xr:uid="{443bfcf1-6e29-4d60-98a6-d7d558a28e71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p/ UTI A Rafael 4677737
Alta Rodrigo 467578
</t>
      </text>
    </comment>
    <comment authorId="28" xr:uid="{45450716-3f23-4708-8d99-b0bc38fdec21}" ref="D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Sueli 4682514
</t>
      </text>
    </comment>
    <comment authorId="29" xr:uid="{455fb841-549c-43d5-981d-a0edd3356f07}" ref="N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Joao 4703636
</t>
      </text>
    </comment>
    <comment authorId="30" xr:uid="{48e349ae-1005-4ce1-b9b7-6f0a86a9a04e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Antonio 4693232
</t>
      </text>
    </comment>
    <comment authorId="31" xr:uid="{49262c84-7048-4b87-9bae-e1f8d1c52e55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 Lourdes 4703565
</t>
      </text>
    </comment>
    <comment authorId="32" xr:uid="{4eff663a-e419-4cc3-beda-351aa1eafae5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 4688255
Adm Jose 4666144
</t>
      </text>
    </comment>
    <comment authorId="33" xr:uid="{67e2d6fc-6c1b-4ad5-886d-a1a1e8b00b36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Pamela 4685466
</t>
      </text>
    </comment>
    <comment authorId="34" xr:uid="{6a87767e-428a-4415-ab45-8edb41f8ec25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Jose 4690491
</t>
      </text>
    </comment>
    <comment authorId="35" xr:uid="{6ab974d2-71f9-4dbd-bf00-d6fafe300642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Rafael 4677737
</t>
      </text>
    </comment>
    <comment authorId="36" xr:uid="{6df1c1f5-f8a9-4c20-b21d-280eb02e221b}" ref="P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Rodrigo 467578
Transferencia p/ UTI A  Rafael 4677737
</t>
      </text>
    </comment>
    <comment authorId="37" xr:uid="{72070525-652a-42a7-97ec-d51950a9855b}" ref="S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Rafael 4677737
Adm Luiz 4690501
</t>
      </text>
    </comment>
    <comment authorId="38" xr:uid="{723a8e3d-ee61-4092-829f-29654832c51c}" ref="G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Rafael 4677737
</t>
      </text>
    </comment>
    <comment authorId="39" xr:uid="{74aeda6f-41a3-4e2a-895b-f3e452a4eab8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Jose 4690491
Readmissão Antonio 4693232
</t>
      </text>
    </comment>
    <comment authorId="40" xr:uid="{77666cdb-7323-4145-bef5-e2c6f3579197}" ref="O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Rodrigo 4675784
</t>
      </text>
    </comment>
    <comment authorId="41" xr:uid="{7d60639b-e27e-47a2-8ef6-9fc85115b9b3}" ref="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Helena 4662270 (óbito no mesmo dia)
</t>
      </text>
    </comment>
    <comment authorId="42" xr:uid="{7f18ffb9-ebca-4d3e-8d57-3d4863be70d6}" ref="A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Matheo 4534986
</t>
      </text>
    </comment>
    <comment authorId="43" xr:uid="{7f71e4d2-f13f-4a44-8556-18fb3e45b10d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Jose 4688255
</t>
      </text>
    </comment>
    <comment authorId="44" xr:uid="{825fac58-8b0d-426e-b35e-23a5b07763bb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 4693232
Adm Luis 4689649
</t>
      </text>
    </comment>
    <comment authorId="45" xr:uid="{87cf52ed-343a-492d-a0fe-b7d3f3bfac8b}" ref="E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Lourdes 4703565
</t>
      </text>
    </comment>
    <comment authorId="46" xr:uid="{893fda8d-1ea5-451e-8c21-5d654c68c923}" ref="O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4691957
</t>
      </text>
    </comment>
    <comment authorId="47" xr:uid="{8abeffc7-419c-4564-b7be-28795a408351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Rodrigo 4675784
</t>
      </text>
    </comment>
    <comment authorId="48" xr:uid="{901bc335-a4a1-4930-b038-e90da0b561b2}" ref="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Rodrigo 4675784
Alta Antonio 4675272
</t>
      </text>
    </comment>
    <comment authorId="49" xr:uid="{932ce31c-ba0d-4197-90b2-29498b3b8f6f}" ref="Q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Rodrigo 4675784
</t>
      </text>
    </comment>
    <comment authorId="50" xr:uid="{973f9f0e-ea92-46e7-9501-c02afd4f2074}" ref="F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Antonio 4693232
</t>
      </text>
    </comment>
    <comment authorId="51" xr:uid="{98143e73-8339-4a4b-a4b1-8a8d0f2dc6b0}" ref="O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Brigida 4700909
</t>
      </text>
    </comment>
    <comment authorId="52" xr:uid="{9852f880-a99b-493b-a2ff-61238b74e5dd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Gerson 4689649
Alta Sebastião 4703714
</t>
      </text>
    </comment>
    <comment authorId="53" xr:uid="{9ac8846c-42b5-496f-8489-9e0ad0a7e647}" ref="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p/ UTI C Fatima 4662295
</t>
      </text>
    </comment>
    <comment authorId="54" xr:uid="{9c27a4ab-403d-406b-b2eb-ddb97cb22b0d}" ref="A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Pedro 4688227
</t>
      </text>
    </comment>
    <comment authorId="55" xr:uid="{9db45ea4-b811-4ff7-810d-7bde19e1017b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Yara 4673913
</t>
      </text>
    </comment>
    <comment authorId="56" xr:uid="{9e947600-f53c-4dab-8fff-d53a1d3db95d}" ref="E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Lucilene 4684069
</t>
      </text>
    </comment>
    <comment authorId="57" xr:uid="{9ea298df-1aaa-4ab8-b559-1b7ef25e47af}" ref="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Helena 4662270
</t>
      </text>
    </comment>
    <comment authorId="58" xr:uid="{a2e6ff85-c90f-4c50-b73f-848caf97aa0a}" ref="B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Antonio 4693232
</t>
      </text>
    </comment>
    <comment authorId="59" xr:uid="{a381b43b-dd60-4d83-b856-1f37f01b4163}" ref="O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Joao 4703636
</t>
      </text>
    </comment>
    <comment authorId="60" xr:uid="{a6eec409-46bb-4b4f-a315-c8f366a1f072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Yan 4656583
</t>
      </text>
    </comment>
    <comment authorId="61" xr:uid="{ad32515c-f196-449c-a16b-67ff02fcb47e}" ref="E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Rafael 4677737
</t>
      </text>
    </comment>
    <comment authorId="62" xr:uid="{af14b3b5-fdb3-427f-a708-3a77c90a2ff9}" ref="B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Rogério 4677716
</t>
      </text>
    </comment>
    <comment authorId="63" xr:uid="{b133de8d-7b3a-45d6-a128-8efb16fa61b8}" ref="Q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Alta no mesmo dia Celio 4682557
</t>
      </text>
    </comment>
    <comment authorId="64" xr:uid="{b17c2ac6-ec5e-4de7-8c89-3da57f843758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Maria 4662259
Reply:
	ADM Gabriel 4675335
</t>
      </text>
    </comment>
    <comment authorId="65" xr:uid="{b3326b84-b70e-45c3-bf6a-34be6399596a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Daniel 4690541
Adm Pamela 4685466
</t>
      </text>
    </comment>
    <comment authorId="66" xr:uid="{b78b012b-76f8-4a13-a742-15ca390e812e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Jose 4691957
Readmissão Mauri 4701867
</t>
      </text>
    </comment>
    <comment authorId="67" xr:uid="{b7b6e56e-59a0-4d42-be13-341605eb87cd}" ref="R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Obito Sonia 4640871
</t>
      </text>
    </comment>
    <comment authorId="68" xr:uid="{c6ba21a1-1bcc-45a1-b84f-0d2b7b532c0a}" ref="N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Crislaine 4690590
</t>
      </text>
    </comment>
    <comment authorId="69" xr:uid="{d380718b-e627-493d-9d42-9a12d0c45549}" ref="O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Crislaine 4690590
</t>
      </text>
    </comment>
    <comment authorId="70" xr:uid="{d4676a87-c3e0-49ba-8a90-4af6e5d29878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Obito Sonia 4640871
</t>
      </text>
    </comment>
    <comment authorId="71" xr:uid="{da272d18-bf0b-43da-bac6-b98aec2580eb}" ref="Q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Fatima 4662295
</t>
      </text>
    </comment>
    <comment authorId="72" xr:uid="{dfec0329-791d-4374-93b0-7817b7b59812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Antonio 4693232
ALta Jose 4690491
</t>
      </text>
    </comment>
    <comment authorId="73" xr:uid="{e1a04fec-e6bc-4456-98ec-e87884756eaf}" ref="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Yara 4673913
</t>
      </text>
    </comment>
    <comment authorId="74" xr:uid="{eba67505-6efd-4b93-9c39-65654458a3b2}" ref="S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Rodrigo 467578
</t>
      </text>
    </comment>
    <comment authorId="75" xr:uid="{ebc57058-efc7-46c9-ae04-57f47a1b39fe}" ref="Q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Eric 4684220
</t>
      </text>
    </comment>
    <comment authorId="76" xr:uid="{ec894108-14e4-400d-9c8e-f1b74fce8d15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Sueli 4668615
</t>
      </text>
    </comment>
    <comment authorId="77" xr:uid="{ef83fa42-6923-479a-8d01-883a1b2048bb}" ref="Z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4534986
</t>
      </text>
    </comment>
    <comment authorId="78" xr:uid="{f0f79f34-d7a4-491a-8613-6708951c7037}" ref="N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Brigida 4700909
</t>
      </text>
    </comment>
    <comment authorId="79" xr:uid="{f115141b-5927-4ffb-8914-da52daca9d1e}" ref="G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4690491
</t>
      </text>
    </comment>
    <comment authorId="80" xr:uid="{f7734060-bec5-45b9-8464-fd843189b43e}" ref="E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Rosangela 4660876
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tc={121d3ac2-593b-453a-a7f6-7d0038329214}</author>
    <author>tc={1a5c1eba-104b-46c8-af2b-fdbbc28c9aef}</author>
    <author>tc={1ae7e1e5-c6f1-4bd2-b76b-ef3368704049}</author>
    <author>tc={1f4496a7-649d-47b5-be82-e214bd21e2a1}</author>
    <author>tc={224a9ac5-b621-453c-990e-8a9345a50964}</author>
    <author>tc={2d140c4a-0c8a-482f-8215-9a25b5f0ce42}</author>
    <author>tc={3223f3ef-5059-4922-a10d-98a2a1c17788}</author>
    <author>tc={3413844b-4861-40e1-838d-5d82d0bf38b2}</author>
    <author>tc={45242374-b105-41e9-9719-330dadfb521d}</author>
    <author>tc={4b611e19-2801-4b97-b603-e0ba2c339ce6}</author>
    <author>tc={4c3563f3-c6ac-49ce-9749-6715056be214}</author>
    <author>tc={6155673a-8b7f-468e-b148-42b9d46ffbb5}</author>
    <author>tc={67fa24f4-b661-41a4-b13d-f384a8152b04}</author>
    <author>tc={6af30c2c-7297-4195-b3aa-7eecb00f51c8}</author>
    <author>tc={7f15cf24-5578-4ae6-8492-41d1c411cd52}</author>
    <author>tc={8039a3d7-fff5-497e-b115-ff52a603209a}</author>
    <author>tc={823f4b46-010e-49c1-88b6-0eb420577998}</author>
    <author>tc={8dd42549-0c9d-48f8-b84b-099cc8d8c8e6}</author>
    <author>tc={8f99d3d0-7efe-4ca9-9569-0a59d5165999}</author>
    <author>tc={9339e9a3-07aa-4320-aab4-c9f99ed4cffd}</author>
    <author>tc={9612bdea-28c2-4f4d-9db8-85255d101cf6}</author>
    <author>tc={99bf960f-da12-44fc-826a-026465657a94}</author>
    <author>tc={9b628cf2-02ec-43f3-9832-9f8b4d54133d}</author>
    <author>tc={9bb252c2-bc82-468c-992a-562d88bdf500}</author>
    <author>tc={a1124466-48af-443e-b936-a9450eb5360a}</author>
    <author>tc={a6a1ebe9-fe27-4092-961a-3b7dd94ed1f9}</author>
    <author>tc={b1abe876-c467-4917-b65e-ff9ebd03c282}</author>
    <author>tc={b20461e5-6216-4154-a324-4861e37286f0}</author>
    <author>tc={b52d72da-5590-4eb4-b975-dace0dac1733}</author>
    <author>tc={bc5bfc9f-3448-4dbf-9618-1ce20c8c1e5a}</author>
    <author>tc={c45e05da-994f-4fe3-bc0c-0d2a42149d8e}</author>
    <author>tc={c77e1220-878b-4fd7-8e8a-5833a06890df}</author>
    <author>tc={cb6bff05-77f1-468a-87a0-4df1fb0cc43f}</author>
    <author>tc={cc82497c-7ac0-4ace-bdcb-9c8fb8e99125}</author>
    <author>tc={d4a2a77f-ca2f-4e72-8981-407df0f0a232}</author>
    <author>tc={db87fbd1-de18-4e4b-b1d9-6dbda229d652}</author>
    <author>tc={dcf75b6d-866f-4fca-b3bc-9f7e7d62f2c7}</author>
    <author>tc={e616bf95-3b0a-43b4-9dce-a5f72b971976}</author>
    <author>tc={e9ae4265-4d71-49e5-8ee8-cca1bfb62e0a}</author>
    <author>tc={edd3036b-bedf-4bd5-9890-0e3c5201dbd9}</author>
    <author>tc={f19a0e3e-c0f8-4865-bf24-335ade28fbe8}</author>
    <author>tc={f2ecf87a-db60-406e-9766-28e951f0f789}</author>
    <author>tc={f77b78a7-e17b-4255-bf89-fe2cfeca919d}</author>
    <author>tc={f930855c-db50-49a2-88e9-f9c5ac78d044}</author>
    <author>tc={fc1ccf2a-972d-4509-9674-843502f9924f}</author>
    <author>tc={fd3c3352-cc26-4eb1-95af-3f9b6447a2f4}</author>
  </authors>
  <commentList>
    <comment authorId="0" xr:uid="{121d3ac2-593b-453a-a7f6-7d0038329214}" ref="P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Genesia 4722762
</t>
      </text>
    </comment>
    <comment authorId="1" xr:uid="{1a5c1eba-104b-46c8-af2b-fdbbc28c9aef}" ref="B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Dominici 4677737
</t>
      </text>
    </comment>
    <comment authorId="2" xr:uid="{1ae7e1e5-c6f1-4bd2-b76b-ef3368704049}" ref="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4689649
</t>
      </text>
    </comment>
    <comment authorId="3" xr:uid="{1f4496a7-649d-47b5-be82-e214bd21e2a1}" ref="P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e Transferencia p/ UTI A no mesmo dia. Celio 4677737
</t>
      </text>
    </comment>
    <comment authorId="4" xr:uid="{224a9ac5-b621-453c-990e-8a9345a50964}" ref="F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Irene 4698256
</t>
      </text>
    </comment>
    <comment authorId="5" xr:uid="{2d140c4a-0c8a-482f-8215-9a25b5f0ce42}" ref="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Damires 4703157
</t>
      </text>
    </comment>
    <comment authorId="6" xr:uid="{3223f3ef-5059-4922-a10d-98a2a1c17788}" ref="G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Cleuza 4722279
</t>
      </text>
    </comment>
    <comment authorId="7" xr:uid="{3413844b-4861-40e1-838d-5d82d0bf38b2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Readmimssão Marcelo 4658148
</t>
      </text>
    </comment>
    <comment authorId="8" xr:uid="{45242374-b105-41e9-9719-330dadfb521d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 4716993
</t>
      </text>
    </comment>
    <comment authorId="9" xr:uid="{4b611e19-2801-4b97-b603-e0ba2c339ce6}" ref="C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Dominici 4677737
Adm e óbito no mesmo dia Cristiane 4703555
</t>
      </text>
    </comment>
    <comment authorId="10" xr:uid="{4c3563f3-c6ac-49ce-9749-6715056be214}" ref="N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Damires 4703157
</t>
      </text>
    </comment>
    <comment authorId="11" xr:uid="{6155673a-8b7f-468e-b148-42b9d46ffbb5}" ref="B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Alexandra 4709483
</t>
      </text>
    </comment>
    <comment authorId="12" xr:uid="{67fa24f4-b661-41a4-b13d-f384a8152b04}" ref="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Celio 4682557
</t>
      </text>
    </comment>
    <comment authorId="13" xr:uid="{6af30c2c-7297-4195-b3aa-7eecb00f51c8}" ref="C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Zezito 4728082
</t>
      </text>
    </comment>
    <comment authorId="14" xr:uid="{7f15cf24-5578-4ae6-8492-41d1c411cd52}" ref="B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Transferência p/ UTI C Luis 4689649
</t>
      </text>
    </comment>
    <comment authorId="15" xr:uid="{8039a3d7-fff5-497e-b115-ff52a603209a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Óbito Benedito 4699873
</t>
      </text>
    </comment>
    <comment authorId="16" xr:uid="{823f4b46-010e-49c1-88b6-0eb420577998}" ref="D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Trasnferencia p/ UTI C Luis 4689649
</t>
      </text>
    </comment>
    <comment authorId="17" xr:uid="{8dd42549-0c9d-48f8-b84b-099cc8d8c8e6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alta no mesmo dia Edelson 4710692
</t>
      </text>
    </comment>
    <comment authorId="18" xr:uid="{8f99d3d0-7efe-4ca9-9569-0a59d5165999}" ref="P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Lindinalva 4719625
</t>
      </text>
    </comment>
    <comment authorId="19" xr:uid="{9339e9a3-07aa-4320-aab4-c9f99ed4cffd}" ref="Q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Genesia 47222762
</t>
      </text>
    </comment>
    <comment authorId="20" xr:uid="{9612bdea-28c2-4f4d-9db8-85255d101cf6}" ref="Q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4689649
</t>
      </text>
    </comment>
    <comment authorId="21" xr:uid="{99bf960f-da12-44fc-826a-026465657a94}" ref="R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Cleuza 4722279
</t>
      </text>
    </comment>
    <comment authorId="22" xr:uid="{9b628cf2-02ec-43f3-9832-9f8b4d54133d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4689649
</t>
      </text>
    </comment>
    <comment authorId="23" xr:uid="{9bb252c2-bc82-468c-992a-562d88bdf500}" ref="B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Daniel 4690541
</t>
      </text>
    </comment>
    <comment authorId="24" xr:uid="{a1124466-48af-443e-b936-a9450eb5360a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4689649
Adm Alexandra 4709483
</t>
      </text>
    </comment>
    <comment authorId="25" xr:uid="{a6a1ebe9-fe27-4092-961a-3b7dd94ed1f9}" ref="E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Eric 4709421
</t>
      </text>
    </comment>
    <comment authorId="26" xr:uid="{b1abe876-c467-4917-b65e-ff9ebd03c282}" ref="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Eric 4684220
</t>
      </text>
    </comment>
    <comment authorId="27" xr:uid="{b20461e5-6216-4154-a324-4861e37286f0}" ref="R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Odete 4718952
</t>
      </text>
    </comment>
    <comment authorId="28" xr:uid="{b52d72da-5590-4eb4-b975-dace0dac1733}" ref="E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Celio 4677737
</t>
      </text>
    </comment>
    <comment authorId="29" xr:uid="{bc5bfc9f-3448-4dbf-9618-1ce20c8c1e5a}" ref="O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 4689649
</t>
      </text>
    </comment>
    <comment authorId="30" xr:uid="{c45e05da-994f-4fe3-bc0c-0d2a42149d8e}" ref="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Cleuza 4722279
</t>
      </text>
    </comment>
    <comment authorId="31" xr:uid="{c77e1220-878b-4fd7-8e8a-5833a06890df}" ref="G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Irene 4698256
</t>
      </text>
    </comment>
    <comment authorId="32" xr:uid="{cb6bff05-77f1-468a-87a0-4df1fb0cc43f}" ref="O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Luis 4716317
</t>
      </text>
    </comment>
    <comment authorId="33" xr:uid="{cc82497c-7ac0-4ace-bdcb-9c8fb8e99125}" ref="Q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Lindinalva 4719625
</t>
      </text>
    </comment>
    <comment authorId="34" xr:uid="{d4a2a77f-ca2f-4e72-8981-407df0f0a232}" ref="Q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Marcus 4693465
</t>
      </text>
    </comment>
    <comment authorId="35" xr:uid="{db87fbd1-de18-4e4b-b1d9-6dbda229d652}" ref="P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Marcus 4693465
</t>
      </text>
    </comment>
    <comment authorId="36" xr:uid="{dcf75b6d-866f-4fca-b3bc-9f7e7d62f2c7}" ref="N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Odete 4718952
Alta Irene 4718952
</t>
      </text>
    </comment>
    <comment authorId="37" xr:uid="{e616bf95-3b0a-43b4-9dce-a5f72b971976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Irene 4718952
Adm Odete 4718952
</t>
      </text>
    </comment>
    <comment authorId="38" xr:uid="{e9ae4265-4d71-49e5-8ee8-cca1bfb62e0a}" ref="O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Polycarpo 4703271
Adm Jose 4709549
</t>
      </text>
    </comment>
    <comment authorId="39" xr:uid="{edd3036b-bedf-4bd5-9890-0e3c5201dbd9}" ref="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Lucilene 4709421
</t>
      </text>
    </comment>
    <comment authorId="40" xr:uid="{f19a0e3e-c0f8-4865-bf24-335ade28fbe8}" ref="B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Marcelo 4658148
</t>
      </text>
    </comment>
    <comment authorId="41" xr:uid="{f2ecf87a-db60-406e-9766-28e951f0f789}" ref="O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Entrada e saída no mesmo dia Esidir 4726639
</t>
      </text>
    </comment>
    <comment authorId="42" xr:uid="{f77b78a7-e17b-4255-bf89-fe2cfeca919d}" ref="P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Fatima 4662295
Readmissão Celio 4682557
</t>
      </text>
    </comment>
    <comment authorId="43" xr:uid="{f930855c-db50-49a2-88e9-f9c5ac78d044}" ref="F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Cleuza 4722279
Transferência p/ UTI C Luis 4689649
</t>
      </text>
    </comment>
    <comment authorId="44" xr:uid="{fc1ccf2a-972d-4509-9674-843502f9924f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Daniel 4690541
</t>
      </text>
    </comment>
    <comment authorId="45" xr:uid="{fd3c3352-cc26-4eb1-95af-3f9b6447a2f4}" ref="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Polycarpo 4703271
Alta Jose 4709549
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tc={001dc67d-acb4-4b24-8f94-bd2addddb620}</author>
    <author>tc={0c0d410f-d196-42ae-893f-5f987371b914}</author>
    <author>tc={0e9fcc5f-685c-4a13-b0ad-6ec874de0038}</author>
    <author>tc={11007743-7bfb-423b-ac7e-a97702a3ba07}</author>
    <author>tc={1165fac4-f1f1-44c0-9989-e9bbd31cc95c}</author>
    <author>tc={138ba5df-af8d-4c74-b866-35b0e82e6514}</author>
    <author>tc={1d21b5a2-01c6-487f-b91e-4cfcef510257}</author>
    <author>tc={20bc89cc-c072-4baa-9fcb-b52e55008522}</author>
    <author>tc={27108536-7ab4-46bc-95f8-a3bbab58e608}</author>
    <author>tc={2c21b3f5-84fa-4595-ad15-5196e2079eb9}</author>
    <author>tc={2c829dc8-7839-4e27-aa4e-ab69ca1810b4}</author>
    <author>tc={2ef784e5-7bc9-47f5-8a99-baba0b5a4d7f}</author>
    <author>tc={3c5f2cec-933e-4e85-90cf-0efd13e4f92d}</author>
    <author>tc={3efdea33-0f17-4f3d-b92c-f40fe1a6fbb1}</author>
    <author>tc={412c5480-d964-40c3-a38a-cbf0e5451b29}</author>
    <author>tc={4799a677-4eb6-434e-9f67-f887f128c3c6}</author>
    <author>tc={524b5740-c93b-4db9-9d11-2ee538c710ad}</author>
    <author>tc={550659a3-7526-4574-9da4-92412a39d201}</author>
    <author>tc={55400f17-5e69-4d97-975a-cb3a112f30ce}</author>
    <author>tc={5e2a057d-3f56-4eae-9b17-0de98227ba46}</author>
    <author>tc={60eda6ea-6205-480b-b4b7-676d45e1d05c}</author>
    <author>tc={6edf5cd9-b7ef-4f68-b90c-da1e49904ace}</author>
    <author>tc={700581ab-6d8a-4115-8f5f-12385d1e288a}</author>
    <author>tc={74aa80a6-b29e-4b1b-9166-e208a40b8662}</author>
    <author>tc={7a42510b-2959-4633-aaae-d1adf30407d4}</author>
    <author>tc={7fbaa7c0-10ce-400f-80c7-ba06ecd943b8}</author>
    <author>tc={8ef31dc7-6fb4-4d43-ba06-2565d5f88f7b}</author>
    <author>tc={90a05d10-e9cb-4a8e-a1fd-a7b00c0f1715}</author>
    <author>tc={93aa32e0-cce7-4ef7-a828-2e8b9ccb5757}</author>
    <author>tc={93fa7e80-f5c9-4b8b-a3d5-ce47e54e9311}</author>
    <author>tc={99b56484-686e-4b61-9b5c-b177448eba86}</author>
    <author>tc={99cefab6-7c5e-41f7-afa1-588d30ed1c20}</author>
    <author>tc={a2797f14-449c-4775-a9ed-1ac5c44a3dfe}</author>
    <author>tc={a55b5f8f-148c-40e0-b5ad-6fea26987129}</author>
    <author>tc={a5e5cc41-a3c8-4391-a60a-db4f52b026d8}</author>
    <author>tc={a617156a-04b9-4c88-a358-a6479ecba600}</author>
    <author>tc={a6924374-736f-49ad-aaf7-42d8731e23e6}</author>
    <author>tc={aa5097ce-3565-4b7b-b5fa-4be2b62dce98}</author>
    <author>tc={ab1bfe38-c935-45da-8f77-77de80a997a9}</author>
    <author>tc={abee299c-fa06-4026-bb73-b2274c5d6c03}</author>
    <author>tc={adb0708c-9ead-4280-b9bf-638f4f4a2f7d}</author>
    <author>tc={af8270d6-767c-4b64-9fa9-59b846ecdcac}</author>
    <author>tc={b22fbc33-0d90-4851-a95d-e6adf8035f06}</author>
    <author>tc={b3142f27-fc4c-413d-a622-b0ff31217adc}</author>
    <author>tc={bbe6af84-9c5f-4674-b57e-c87e5819d700}</author>
    <author>tc={c6e614e2-a0e8-4aa0-8eab-ce9cf6af8fc0}</author>
    <author>tc={cff55760-873a-4b24-ab34-6808576f533e}</author>
    <author>tc={d437637d-f19f-469c-9803-9f76533082a9}</author>
    <author>tc={d7fdcb2d-5806-4f1b-be0a-3bc98bda482a}</author>
    <author>tc={d9647b1e-d4d7-4775-9543-9f2ba981139c}</author>
    <author>tc={db038aa9-d40a-4bd8-a0de-c12856f67bd1}</author>
    <author>tc={e6ada9ff-5e34-4f79-ab93-51da6b61b37b}</author>
    <author>tc={e949fba0-044c-4162-a142-0929e6c68bca}</author>
    <author>tc={ea7194de-4ab1-448f-94d8-995cbc43aed8}</author>
    <author>tc={ee3cc6b7-8a38-4dd8-abe5-4ce1ab153579}</author>
    <author>tc={f13d119e-38eb-43f8-b588-77f9ef6295cd}</author>
    <author>tc={f62cddee-1006-4308-a292-51b5b479adbd}</author>
    <author>tc={f7e3c2a3-5c66-4acc-bb79-811e7cdba5b7}</author>
  </authors>
  <commentList>
    <comment authorId="0" xr:uid="{001dc67d-acb4-4b24-8f94-bd2addddb620}" ref="C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Joao 4747401 Adm e óbito (no mesmo dia)
</t>
      </text>
    </comment>
    <comment authorId="1" xr:uid="{0c0d410f-d196-42ae-893f-5f987371b914}" ref="B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 Daniel 4690541
Alta Zezito 4728082
Alta Josee 4666144
</t>
      </text>
    </comment>
    <comment authorId="2" xr:uid="{0e9fcc5f-685c-4a13-b0ad-6ec874de0038}" ref="R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Ronaldo 4754763
</t>
      </text>
    </comment>
    <comment authorId="3" xr:uid="{11007743-7bfb-423b-ac7e-a97702a3ba07}" ref="R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Marcio 4750239
</t>
      </text>
    </comment>
    <comment authorId="4" xr:uid="{1165fac4-f1f1-44c0-9989-e9bbd31cc95c}" ref="R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Luis 4689649
</t>
      </text>
    </comment>
    <comment authorId="5" xr:uid="{138ba5df-af8d-4c74-b866-35b0e82e6514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Ednei 4744867
</t>
      </text>
    </comment>
    <comment authorId="6" xr:uid="{1d21b5a2-01c6-487f-b91e-4cfcef510257}" ref="B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Joao 4754109
</t>
      </text>
    </comment>
    <comment authorId="7" xr:uid="{20bc89cc-c072-4baa-9fcb-b52e55008522}" ref="Q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Idalice 4731161
Adm Luis 4716317
</t>
      </text>
    </comment>
    <comment authorId="8" xr:uid="{27108536-7ab4-46bc-95f8-a3bbab58e608}" ref="G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alta no mesmo dia Gilberto 4743072
</t>
      </text>
    </comment>
    <comment authorId="9" xr:uid="{2c21b3f5-84fa-4595-ad15-5196e2079eb9}" ref="F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Transferencia p/ UTI C Orlando 4727887
</t>
      </text>
    </comment>
    <comment authorId="10" xr:uid="{2c829dc8-7839-4e27-aa4e-ab69ca1810b4}" ref="B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Ednei 4744867
</t>
      </text>
    </comment>
    <comment authorId="11" xr:uid="{2ef784e5-7bc9-47f5-8a99-baba0b5a4d7f}" ref="P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Luis 4689649
</t>
      </text>
    </comment>
    <comment authorId="12" xr:uid="{3c5f2cec-933e-4e85-90cf-0efd13e4f92d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4743051
</t>
      </text>
    </comment>
    <comment authorId="13" xr:uid="{3efdea33-0f17-4f3d-b92c-f40fe1a6fbb1}" ref="O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Karine 4745300
</t>
      </text>
    </comment>
    <comment authorId="14" xr:uid="{412c5480-d964-40c3-a38a-cbf0e5451b29}" ref="C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Rosangela 4752609
Adm Luciana 4748045
</t>
      </text>
    </comment>
    <comment authorId="15" xr:uid="{4799a677-4eb6-434e-9f67-f887f128c3c6}" ref="N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Jose 4746760
</t>
      </text>
    </comment>
    <comment authorId="16" xr:uid="{524b5740-c93b-4db9-9d11-2ee538c710ad}" ref="N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Ednei 4744867
óbito Rosinaldo 4745352
</t>
      </text>
    </comment>
    <comment authorId="17" xr:uid="{550659a3-7526-4574-9da4-92412a39d201}" ref="P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Idalice 4731161
</t>
      </text>
    </comment>
    <comment authorId="18" xr:uid="{55400f17-5e69-4d97-975a-cb3a112f30ce}" ref="C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Adriana 4728132
</t>
      </text>
    </comment>
    <comment authorId="19" xr:uid="{5e2a057d-3f56-4eae-9b17-0de98227ba46}" ref="F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Gessira 4603356
</t>
      </text>
    </comment>
    <comment authorId="20" xr:uid="{60eda6ea-6205-480b-b4b7-676d45e1d05c}" ref="R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Antonia 4727014
</t>
      </text>
    </comment>
    <comment authorId="21" xr:uid="{6edf5cd9-b7ef-4f68-b90c-da1e49904ace}" ref="G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Gessira 4603356
</t>
      </text>
    </comment>
    <comment authorId="22" xr:uid="{700581ab-6d8a-4115-8f5f-12385d1e288a}" ref="R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Luiz 4690501
</t>
      </text>
    </comment>
    <comment authorId="23" xr:uid="{74aa80a6-b29e-4b1b-9166-e208a40b8662}" ref="S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Erli 4713729
Adm Idalice 4731161
</t>
      </text>
    </comment>
    <comment authorId="24" xr:uid="{7a42510b-2959-4633-aaae-d1adf30407d4}" ref="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Ronaldo 4754763
</t>
      </text>
    </comment>
    <comment authorId="25" xr:uid="{7fbaa7c0-10ce-400f-80c7-ba06ecd943b8}" ref="B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Luciana 4748045
</t>
      </text>
    </comment>
    <comment authorId="26" xr:uid="{8ef31dc7-6fb4-4d43-ba06-2565d5f88f7b}" ref="R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Orlando 4727887
</t>
      </text>
    </comment>
    <comment authorId="27" xr:uid="{90a05d10-e9cb-4a8e-a1fd-a7b00c0f1715}" ref="B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Adriana 4728132
</t>
      </text>
    </comment>
    <comment authorId="28" xr:uid="{93aa32e0-cce7-4ef7-a828-2e8b9ccb5757}" ref="O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Ednei 4744867
</t>
      </text>
    </comment>
    <comment authorId="29" xr:uid="{93fa7e80-f5c9-4b8b-a3d5-ce47e54e9311}" ref="S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 Orlando 4727887
</t>
      </text>
    </comment>
    <comment authorId="30" xr:uid="{99b56484-686e-4b61-9b5c-b177448eba86}" ref="D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Andre 4746395
</t>
      </text>
    </comment>
    <comment authorId="31" xr:uid="{99cefab6-7c5e-41f7-afa1-588d30ed1c20}" ref="O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Jose 4746760
</t>
      </text>
    </comment>
    <comment authorId="32" xr:uid="{a2797f14-449c-4775-a9ed-1ac5c44a3dfe}" ref="F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Iraci 4736977
</t>
      </text>
    </comment>
    <comment authorId="33" xr:uid="{a55b5f8f-148c-40e0-b5ad-6fea26987129}" ref="G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Iraci 4736977
</t>
      </text>
    </comment>
    <comment authorId="34" xr:uid="{a5e5cc41-a3c8-4391-a60a-db4f52b026d8}" ref="B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Andre 4746395
</t>
      </text>
    </comment>
    <comment authorId="35" xr:uid="{a617156a-04b9-4c88-a358-a6479ecba600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Adriana 4728132
</t>
      </text>
    </comment>
    <comment authorId="36" xr:uid="{a6924374-736f-49ad-aaf7-42d8731e23e6}" ref="G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Adriana 4728132
</t>
      </text>
    </comment>
    <comment authorId="37" xr:uid="{aa5097ce-3565-4b7b-b5fa-4be2b62dce98}" ref="N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Luis 4716317
</t>
      </text>
    </comment>
    <comment authorId="38" xr:uid="{ab1bfe38-c935-45da-8f77-77de80a997a9}" ref="G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Orlando 4727887
</t>
      </text>
    </comment>
    <comment authorId="39" xr:uid="{abee299c-fa06-4026-bb73-b2274c5d6c03}" ref="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Antonio 4716993
</t>
      </text>
    </comment>
    <comment authorId="40" xr:uid="{adb0708c-9ead-4280-b9bf-638f4f4a2f7d}" ref="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Rosely 4750315
</t>
      </text>
    </comment>
    <comment authorId="41" xr:uid="{af8270d6-767c-4b64-9fa9-59b846ecdcac}" ref="S3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Marcio 4750239
</t>
      </text>
    </comment>
    <comment authorId="42" xr:uid="{b22fbc33-0d90-4851-a95d-e6adf8035f06}" ref="F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Readmissão Gilberto 4743072
</t>
      </text>
    </comment>
    <comment authorId="43" xr:uid="{b3142f27-fc4c-413d-a622-b0ff31217adc}" ref="O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Rosinaldo 4745352
</t>
      </text>
    </comment>
    <comment authorId="44" xr:uid="{bbe6af84-9c5f-4674-b57e-c87e5819d700}" ref="N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Karine 4745300
</t>
      </text>
    </comment>
    <comment authorId="45" xr:uid="{c6e614e2-a0e8-4aa0-8eab-ce9cf6af8fc0}" ref="S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e alta no mesmo dia Jefferson 4745274
</t>
      </text>
    </comment>
    <comment authorId="46" xr:uid="{cff55760-873a-4b24-ab34-6808576f533e}" ref="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Adriana 4728132
</t>
      </text>
    </comment>
    <comment authorId="47" xr:uid="{d437637d-f19f-469c-9803-9f76533082a9}" ref="E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Andre 4746395
Adm Rosely 4750315
</t>
      </text>
    </comment>
    <comment authorId="48" xr:uid="{d7fdcb2d-5806-4f1b-be0a-3bc98bda482a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Joao 4754109
</t>
      </text>
    </comment>
    <comment authorId="49" xr:uid="{d9647b1e-d4d7-4775-9543-9f2ba981139c}" ref="P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 Luis 4716317
</t>
      </text>
    </comment>
    <comment authorId="50" xr:uid="{db038aa9-d40a-4bd8-a0de-c12856f67bd1}" ref="S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Antonia 4727014
</t>
      </text>
    </comment>
    <comment authorId="51" xr:uid="{e6ada9ff-5e34-4f79-ab93-51da6b61b37b}" ref="E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Claudinei 4732120
</t>
      </text>
    </comment>
    <comment authorId="52" xr:uid="{e949fba0-044c-4162-a142-0929e6c68bca}" ref="B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Adriana 474112
</t>
      </text>
    </comment>
    <comment authorId="53" xr:uid="{ea7194de-4ab1-448f-94d8-995cbc43aed8}" ref="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Erli 4713729
</t>
      </text>
    </comment>
    <comment authorId="54" xr:uid="{ee3cc6b7-8a38-4dd8-abe5-4ce1ab153579}" ref="R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óbito Idalice 4731161
</t>
      </text>
    </comment>
    <comment authorId="55" xr:uid="{f13d119e-38eb-43f8-b588-77f9ef6295cd}" ref="C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Adm Andre 4746395
</t>
      </text>
    </comment>
    <comment authorId="56" xr:uid="{f62cddee-1006-4308-a292-51b5b479adbd}" ref="N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Luis 4689649
</t>
      </text>
    </comment>
    <comment authorId="57" xr:uid="{f7e3c2a3-5c66-4acc-bb79-811e7cdba5b7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Alta Claudinei 4732120
</t>
      </text>
    </comment>
  </commentList>
</comments>
</file>

<file path=xl/sharedStrings.xml><?xml version="1.0" encoding="utf-8"?>
<sst xmlns="http://schemas.openxmlformats.org/spreadsheetml/2006/main" count="682" uniqueCount="46">
  <si>
    <t/>
  </si>
  <si>
    <t>UTIC</t>
  </si>
  <si>
    <t>UTI Neo</t>
  </si>
  <si>
    <t>ESBL</t>
  </si>
  <si>
    <t>Acineto</t>
  </si>
  <si>
    <t>KPC</t>
  </si>
  <si>
    <t>Pseudomonas</t>
  </si>
  <si>
    <t>Pacientes-dia</t>
  </si>
  <si>
    <t>Dia</t>
  </si>
  <si>
    <t>Cumulativo</t>
  </si>
  <si>
    <t>Novo</t>
  </si>
  <si>
    <t>Total</t>
  </si>
  <si>
    <t>Di</t>
  </si>
  <si>
    <t>UTIAB</t>
  </si>
  <si>
    <t>UTI Neo /Ped</t>
  </si>
  <si>
    <t>UTIA/ B</t>
  </si>
  <si>
    <r>
      <rPr>
        <rFont val="Calibri"/>
        <color theme="1"/>
        <sz val="12.0"/>
      </rPr>
      <t>UTIA</t>
    </r>
    <r>
      <rPr>
        <rFont val="Calibri"/>
        <b/>
        <color theme="1"/>
        <sz val="12.0"/>
      </rPr>
      <t>B</t>
    </r>
  </si>
  <si>
    <t>VRE</t>
  </si>
  <si>
    <t>UTI AB</t>
  </si>
  <si>
    <t xml:space="preserve">UTIAB </t>
  </si>
  <si>
    <t>Acinetobacter</t>
  </si>
  <si>
    <t>Novos</t>
  </si>
  <si>
    <t>Cumulat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</si>
  <si>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</si>
  <si>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</si>
  <si>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</si>
  <si>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</si>
  <si>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</si>
  <si>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</si>
  <si>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</si>
  <si>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</si>
  <si>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</si>
  <si>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</si>
  <si>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</si>
  <si>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</si>
  <si>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UTIA</t>
  </si>
  <si>
    <t>O35</t>
  </si>
  <si>
    <t>S35</t>
  </si>
  <si>
    <t>Q35</t>
  </si>
  <si>
    <t>U35</t>
  </si>
  <si>
    <t>C35</t>
  </si>
  <si>
    <t>G35</t>
  </si>
  <si>
    <t>E35</t>
  </si>
  <si>
    <t>I35</t>
  </si>
  <si>
    <t>J35</t>
  </si>
  <si>
    <t>Pdia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</si>
</sst>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Calibri"/>
      <scheme val="minor"/>
    </font>
    <font>
      <sz val="12.0"/>
      <color theme="1"/>
      <name val="Calibri"/>
    </font>
    <font/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Arial"/>
    </font>
    <font>
      <sz val="11.0"/>
      <color rgb="FF000000"/>
      <name val="Calibri"/>
    </font>
    <font>
      <color theme="1"/>
      <name val="Calibri"/>
    </font>
    <font>
      <b/>
      <sz val="12.0"/>
      <color theme="1"/>
      <name val="Arial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theme="9"/>
        <bgColor theme="9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D9E2F3"/>
        <bgColor rgb="FFD9E2F3"/>
      </patternFill>
    </fill>
    <fill>
      <patternFill patternType="solid">
        <fgColor rgb="FFB7B7B7"/>
        <bgColor rgb="FFB7B7B7"/>
      </patternFill>
    </fill>
  </fills>
  <borders count="15">
    <border/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quotePrefix="1"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6" fillId="0" fontId="2" numFmtId="0" xfId="0" applyBorder="1" applyFont="1"/>
    <xf borderId="4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right"/>
    </xf>
    <xf borderId="6" fillId="0" fontId="1" numFmtId="0" xfId="0" applyAlignment="1" applyBorder="1" applyFont="1">
      <alignment horizontal="right" readingOrder="0"/>
    </xf>
    <xf borderId="6" fillId="0" fontId="1" numFmtId="0" xfId="0" applyBorder="1" applyFont="1"/>
    <xf borderId="6" fillId="0" fontId="1" numFmtId="0" xfId="0" applyAlignment="1" applyBorder="1" applyFont="1">
      <alignment readingOrder="0"/>
    </xf>
    <xf borderId="4" fillId="0" fontId="4" numFmtId="0" xfId="0" applyBorder="1" applyFont="1"/>
    <xf borderId="6" fillId="0" fontId="1" numFmtId="0" xfId="0" applyAlignment="1" applyBorder="1" applyFont="1">
      <alignment horizontal="right"/>
    </xf>
    <xf borderId="4" fillId="0" fontId="1" numFmtId="0" xfId="0" applyBorder="1" applyFont="1"/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9" fillId="0" fontId="1" numFmtId="0" xfId="0" applyBorder="1" applyFont="1"/>
    <xf borderId="9" fillId="0" fontId="1" numFmtId="0" xfId="0" applyAlignment="1" applyBorder="1" applyFont="1">
      <alignment readingOrder="0"/>
    </xf>
    <xf borderId="9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 readingOrder="0"/>
    </xf>
    <xf borderId="4" fillId="0" fontId="1" numFmtId="0" xfId="0" applyAlignment="1" applyBorder="1" applyFont="1">
      <alignment readingOrder="0"/>
    </xf>
    <xf borderId="4" fillId="5" fontId="1" numFmtId="0" xfId="0" applyBorder="1" applyFill="1" applyFont="1"/>
    <xf borderId="4" fillId="5" fontId="1" numFmtId="0" xfId="0" applyAlignment="1" applyBorder="1" applyFont="1">
      <alignment readingOrder="0"/>
    </xf>
    <xf borderId="0" fillId="5" fontId="4" numFmtId="0" xfId="0" applyFont="1"/>
    <xf borderId="4" fillId="0" fontId="1" numFmtId="0" xfId="0" applyAlignment="1" applyBorder="1" applyFont="1">
      <alignment horizontal="right" readingOrder="0"/>
    </xf>
    <xf borderId="0" fillId="0" fontId="1" numFmtId="0" xfId="0" applyFont="1"/>
    <xf borderId="0" fillId="0" fontId="5" numFmtId="0" xfId="0" applyFont="1"/>
    <xf borderId="1" fillId="2" fontId="1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right" readingOrder="0" shrinkToFit="0" vertical="bottom" wrapText="0"/>
    </xf>
    <xf borderId="4" fillId="5" fontId="6" numFmtId="0" xfId="0" applyAlignment="1" applyBorder="1" applyFont="1">
      <alignment horizontal="center" readingOrder="0" shrinkToFit="0" wrapText="0"/>
    </xf>
    <xf borderId="8" fillId="5" fontId="6" numFmtId="0" xfId="0" applyAlignment="1" applyBorder="1" applyFont="1">
      <alignment horizontal="center" readingOrder="0" shrinkToFit="0" wrapText="0"/>
    </xf>
    <xf borderId="4" fillId="0" fontId="6" numFmtId="0" xfId="0" applyAlignment="1" applyBorder="1" applyFont="1">
      <alignment horizontal="right" readingOrder="0" shrinkToFit="0" wrapText="0"/>
    </xf>
    <xf borderId="8" fillId="0" fontId="6" numFmtId="0" xfId="0" applyAlignment="1" applyBorder="1" applyFont="1">
      <alignment horizontal="right" readingOrder="0" shrinkToFit="0" vertical="bottom" wrapText="0"/>
    </xf>
    <xf borderId="0" fillId="0" fontId="4" numFmtId="0" xfId="0" applyAlignment="1" applyFont="1">
      <alignment readingOrder="0"/>
    </xf>
    <xf borderId="4" fillId="0" fontId="1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4" fillId="0" fontId="7" numFmtId="0" xfId="0" applyAlignment="1" applyBorder="1" applyFont="1">
      <alignment horizontal="right" readingOrder="0" vertical="bottom"/>
    </xf>
    <xf borderId="4" fillId="0" fontId="1" numFmtId="0" xfId="0" applyAlignment="1" applyBorder="1" applyFont="1">
      <alignment horizontal="right" vertical="bottom"/>
    </xf>
    <xf borderId="4" fillId="0" fontId="7" numFmtId="0" xfId="0" applyAlignment="1" applyBorder="1" applyFont="1">
      <alignment readingOrder="0" vertical="bottom"/>
    </xf>
    <xf borderId="10" fillId="0" fontId="1" numFmtId="0" xfId="0" applyAlignment="1" applyBorder="1" applyFont="1">
      <alignment horizontal="right" vertical="bottom"/>
    </xf>
    <xf borderId="10" fillId="0" fontId="7" numFmtId="0" xfId="0" applyAlignment="1" applyBorder="1" applyFont="1">
      <alignment readingOrder="0"/>
    </xf>
    <xf borderId="10" fillId="0" fontId="7" numFmtId="0" xfId="0" applyBorder="1" applyFont="1"/>
    <xf borderId="1" fillId="2" fontId="1" numFmtId="0" xfId="0" applyAlignment="1" applyBorder="1" applyFont="1">
      <alignment horizontal="center"/>
    </xf>
    <xf borderId="1" fillId="2" fontId="8" numFmtId="0" xfId="0" applyAlignment="1" applyBorder="1" applyFont="1">
      <alignment horizontal="center"/>
    </xf>
    <xf borderId="1" fillId="6" fontId="8" numFmtId="0" xfId="0" applyAlignment="1" applyBorder="1" applyFill="1" applyFont="1">
      <alignment horizontal="center"/>
    </xf>
    <xf borderId="11" fillId="2" fontId="5" numFmtId="0" xfId="0" applyBorder="1" applyFont="1"/>
    <xf borderId="11" fillId="6" fontId="5" numFmtId="0" xfId="0" applyBorder="1" applyFont="1"/>
    <xf borderId="0" fillId="0" fontId="5" numFmtId="2" xfId="0" applyFont="1" applyNumberFormat="1"/>
    <xf borderId="11" fillId="2" fontId="5" numFmtId="2" xfId="0" applyBorder="1" applyFont="1" applyNumberFormat="1"/>
    <xf borderId="11" fillId="6" fontId="5" numFmtId="2" xfId="0" applyBorder="1" applyFont="1" applyNumberFormat="1"/>
    <xf borderId="11" fillId="7" fontId="1" numFmtId="0" xfId="0" applyBorder="1" applyFill="1" applyFont="1"/>
    <xf borderId="12" fillId="7" fontId="1" numFmtId="0" xfId="0" applyBorder="1" applyFont="1"/>
    <xf borderId="13" fillId="0" fontId="2" numFmtId="0" xfId="0" applyBorder="1" applyFont="1"/>
    <xf borderId="14" fillId="0" fontId="2" numFmtId="0" xfId="0" applyBorder="1" applyFont="1"/>
    <xf borderId="11" fillId="7" fontId="9" numFmtId="0" xfId="0" applyBorder="1" applyFont="1"/>
    <xf borderId="11" fillId="7" fontId="5" numFmtId="2" xfId="0" applyBorder="1" applyFont="1" applyNumberFormat="1"/>
    <xf borderId="11" fillId="7" fontId="1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ocumenttasks/documenttask11.xml><?xml version="1.0" encoding="utf-8"?>
<Tasks xmlns="http://schemas.microsoft.com/office/tasks/2019/documenttasks"/>
</file>

<file path=xl/documenttasks/documenttask1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ine Mattos" id="{ed6452d4-e7cc-44d7-8056-79bc5a591000}" providerId="google-sheets"/>
  <x18tc:person displayName="scih husf" id="{8cadbcf0-d745-44de-b933-bd4ada8abb3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04-09T13:23:58.00" personId="{8cadbcf0-d745-44de-b933-bd4ada8abb3a}" id="{21124d10-2e6c-4ba8-bfaf-6d34511bb6ac}" done="0">
    <x18tc:text xml:space="preserve">alta Alexandre 4484158 para uti c</x18tc:text>
  </x18tc:threadedComment>
  <x18tc:threadedComment ref="A1" dT="2025-04-09T13:25:12.00" personId="{8cadbcf0-d745-44de-b933-bd4ada8abb3a}" id="{4e78ba31-15bf-4649-846e-d7704fbb0e3d}" done="0">
    <x18tc:text xml:space="preserve">admissão Alexandre da UTI A</x18tc:text>
  </x18tc:threadedComment>
  <x18tc:threadedComment ref="A1" dT="2025-10-10T12:27:52.00" personId="{8cadbcf0-d745-44de-b933-bd4ada8abb3a}" id="{f7a4bd18-3a9e-40dc-ab5c-df622a0312d7}" done="0">
    <x18tc:text xml:space="preserve">ADM Sueli 4668615</x18tc:text>
  </x18tc:threadedComment>
  <x18tc:threadedComment ref="N25" dT="2025-01-24T17:45:29.00" personId="{8cadbcf0-d745-44de-b933-bd4ada8abb3a}" id="{267d765d-62d3-4389-9ac5-d6337341b75a}" done="0">
    <x18tc:text xml:space="preserve">paciente com MDR de internação anterior</x18tc:text>
  </x18tc:threadedComment>
  <x18tc:threadedComment ref="P6" dT="2025-01-24T17:54:58.00" personId="{8cadbcf0-d745-44de-b933-bd4ada8abb3a}" id="{4dbe375b-8cae-45b2-be9f-720d911f2bec}" done="0">
    <x18tc:text xml:space="preserve">transferida da UTI B</x18tc:text>
  </x18tc:threadedComment>
  <x18tc:threadedComment ref="A1" dT="2025-06-16T11:38:13.00" personId="{8cadbcf0-d745-44de-b933-bd4ada8abb3a}" id="{adc7866e-2cde-4373-b69b-f90843c02b98}" done="0">
    <x18tc:text xml:space="preserve">Adm Ivone 4573215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0" dT="2025-02-11T16:58:29.00" personId="{8cadbcf0-d745-44de-b933-bd4ada8abb3a}" id="{d418a5f2-0065-4a02-83e9-dd3a94b2a1b5}" done="0">
    <x18tc:text xml:space="preserve">admissão Clinica cirúrgica (2 ESBL)</x18tc:text>
  </x18tc:threadedComment>
  <x18tc:threadedComment ref="B12" dT="2025-02-11T16:59:37.00" personId="{8cadbcf0-d745-44de-b933-bd4ada8abb3a}" id="{434db3c6-b607-40cc-8b42-de652d4dd351}" done="0">
    <x18tc:text xml:space="preserve">alta 2 ESBL</x18tc:text>
  </x18tc:threadedComment>
  <x18tc:threadedComment ref="E9" dT="2025-02-12T11:17:35.00" personId="{8cadbcf0-d745-44de-b933-bd4ada8abb3a}" id="{7399d1bd-9cfb-44b8-81f5-e7e9865cb2d8}" done="0">
    <x18tc:text xml:space="preserve">novo e óbito no mesmo dia</x18tc:text>
  </x18tc:threadedComment>
  <x18tc:threadedComment ref="O11" dT="2025-02-12T11:19:21.00" personId="{8cadbcf0-d745-44de-b933-bd4ada8abb3a}" id="{aa6751d1-34fd-413a-bb90-ca1c79a0c0a7}" done="0">
    <x18tc:text xml:space="preserve">novo e transferido para clinica</x18tc:text>
  </x18tc:threadedComment>
  <x18tc:threadedComment ref="N9" dT="2025-02-07T11:06:33.00" personId="{8cadbcf0-d745-44de-b933-bd4ada8abb3a}" id="{446c791f-3493-447b-b17f-eae6431d2975}" done="0">
    <x18tc:text xml:space="preserve">transferência para UTI</x18tc:text>
  </x18tc:threadedComment>
  <x18tc:threadedComment ref="E13" dT="2025-02-13T13:48:57.00" personId="{8cadbcf0-d745-44de-b933-bd4ada8abb3a}" id="{f986dcad-8983-4e02-8ce6-0511639e381e}" done="0">
    <x18tc:text xml:space="preserve">novo e transferência para clinica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3" dT="2025-04-03T18:13:44.00" personId="{8cadbcf0-d745-44de-b933-bd4ada8abb3a}" id="{48064bef-5fa6-4886-9dc4-0187e264b633}" done="0">
    <x18tc:text xml:space="preserve">NAZARÉ 4502708</x18tc:text>
  </x18tc:threadedComment>
  <x18tc:threadedComment ref="O34" dT="2025-04-03T18:17:25.00" personId="{8cadbcf0-d745-44de-b933-bd4ada8abb3a}" id="{91b66e9d-69f8-490b-beaa-90a7b015a50b}" done="0">
    <x18tc:text xml:space="preserve">OLGA 4496693</x18tc:text>
  </x18tc:threadedComment>
  <x18tc:threadedComment ref="G20" dT="2025-04-09T13:27:43.00" personId="{8cadbcf0-d745-44de-b933-bd4ada8abb3a}" id="{760e9d75-573d-4611-9481-8b67329bd521}" done="0">
    <x18tc:text xml:space="preserve">alexandre 4484158</x18tc:text>
  </x18tc:threadedComment>
  <x18tc:threadedComment ref="F32" dT="2025-04-09T13:28:13.00" personId="{8cadbcf0-d745-44de-b933-bd4ada8abb3a}" id="{fe5256c4-c667-426a-9c96-8cb3115fb7e1}" done="0">
    <x18tc:text xml:space="preserve">Alta Alexandre para UTI C</x18tc:text>
  </x18tc:threadedComment>
  <x18tc:threadedComment ref="B25" dT="2025-03-24T18:40:20.00" personId="{8cadbcf0-d745-44de-b933-bd4ada8abb3a}" id="{fae684ff-04e9-4672-9142-388853a30bd9}" done="0">
    <x18tc:text xml:space="preserve">admissão / não é novo</x18tc:text>
  </x18tc:threadedComment>
  <x18tc:threadedComment ref="R20" dT="2025-03-20T14:15:20.00" personId="{8cadbcf0-d745-44de-b933-bd4ada8abb3a}" id="{f16f49f8-8cb9-4fb4-9f5d-c2d07198b0ba}" done="0">
    <x18tc:text xml:space="preserve">admissão externa / swab admissão positivo, alta dia 18.</x18tc:text>
  </x18tc:threadedComment>
  <x18tc:threadedComment ref="F31" dT="2025-04-04T13:44:50.00" personId="{8cadbcf0-d745-44de-b933-bd4ada8abb3a}" id="{c49f002a-9f65-48af-90b6-1162459783e2}" done="0">
    <x18tc:text xml:space="preserve">ADM MAURICIO 4509234</x18tc:text>
  </x18tc:threadedComment>
  <x18tc:threadedComment ref="I31" dT="2025-06-12T13:31:42.00" personId="{8cadbcf0-d745-44de-b933-bd4ada8abb3a}" id="{c3ed3687-a28a-4865-8285-f496100425f4}" done="0">
    <x18tc:text xml:space="preserve">Akira - 4507719</x18tc:text>
  </x18tc:threadedComment>
  <x18tc:threadedComment ref="H22" dT="2025-06-12T13:28:24.00" personId="{8cadbcf0-d745-44de-b933-bd4ada8abb3a}" id="{8de8bfde-19a2-4a81-8735-081d0ad4bd5d}" done="0">
    <x18tc:text xml:space="preserve">Óbito Faustina - 4497771</x18tc:text>
  </x18tc:threadedComment>
  <x18tc:threadedComment ref="I20" dT="2025-06-12T13:27:55.00" personId="{8cadbcf0-d745-44de-b933-bd4ada8abb3a}" id="{78e64d12-4dfe-4193-823b-155e9376f1ac}" done="0">
    <x18tc:text xml:space="preserve">Faustina - 4497771</x18tc:text>
  </x18tc:threadedComment>
  <x18tc:threadedComment ref="C21" dT="2025-04-01T13:37:34.00" personId="{8cadbcf0-d745-44de-b933-bd4ada8abb3a}" id="{aff6d0d0-1b09-41fd-8cf7-2a17d5acaed1}" done="0">
    <x18tc:text xml:space="preserve">internação 4498027</x18tc:text>
  </x18tc:threadedComment>
  <x18tc:threadedComment ref="B34" dT="2025-04-01T13:37:11.00" personId="{8cadbcf0-d745-44de-b933-bd4ada8abb3a}" id="{3fcdbafb-3f27-4bf8-8519-698689bd2e35}" done="0">
    <x18tc:text xml:space="preserve">obito 4498027</x18tc:text>
  </x18tc:threadedComment>
  <x18tc:threadedComment ref="B12" dT="2025-03-14T14:18:57.00" personId="{8cadbcf0-d745-44de-b933-bd4ada8abb3a}" id="{41b3f610-abd1-468a-9692-ff87fc97c4bc}" done="0">
    <x18tc:text xml:space="preserve">alta dia 8</x18tc:text>
  </x18tc:threadedComment>
  <x18tc:threadedComment ref="O26" dT="2025-04-01T13:44:15.00" personId="{8cadbcf0-d745-44de-b933-bd4ada8abb3a}" id="{7d60f867-e7cd-4ee2-84e3-38c9a6543eaf}" done="0">
    <x18tc:text xml:space="preserve">Solange 4500080</x18tc:text>
  </x18tc:threadedComment>
  <x18tc:threadedComment ref="R33" dT="2025-04-01T13:08:54.00" personId="{8cadbcf0-d745-44de-b933-bd4ada8abb3a}" id="{87660954-87df-40f6-a560-e6b533f356a1}" done="0">
    <x18tc:text xml:space="preserve">ADMISSÃO DA UTI A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21" dT="2025-04-22T18:50:59.00" personId="{8cadbcf0-d745-44de-b933-bd4ada8abb3a}" id="{c7eee6f3-4fd6-4f49-902a-46b0682947c4}" done="0">
    <x18tc:text xml:space="preserve">Adm Maria de Fatima 4509310</x18tc:text>
  </x18tc:threadedComment>
  <x18tc:threadedComment ref="B20" dT="2025-04-22T18:42:00.00" personId="{8cadbcf0-d745-44de-b933-bd4ada8abb3a}" id="{5ffccc2e-23a4-4910-8c5b-d60e85a572e5}" done="0">
    <x18tc:text xml:space="preserve">alta Akira</x18tc:text>
  </x18tc:threadedComment>
  <x18tc:threadedComment ref="B21" dT="2025-04-22T17:53:08.00" personId="{8cadbcf0-d745-44de-b933-bd4ada8abb3a}" id="{dc97183f-59e8-4832-9202-1aa60f30b070}" done="0">
    <x18tc:text xml:space="preserve">alta Gabriela</x18tc:text>
  </x18tc:threadedComment>
  <x18tc:threadedComment ref="Z19" dT="2025-04-17T16:31:58.00" personId="{8cadbcf0-d745-44de-b933-bd4ada8abb3a}" id="{8034f55e-037c-4aed-9298-39b38c3eedd0}" done="0">
    <x18tc:text xml:space="preserve">Alta Gabriel</x18tc:text>
  </x18tc:threadedComment>
  <x18tc:threadedComment ref="N4" dT="2025-04-03T17:46:23.00" personId="{8cadbcf0-d745-44de-b933-bd4ada8abb3a}" id="{5d84ae36-24d1-4d7c-b789-23cee251446b}" done="0">
    <x18tc:text xml:space="preserve">alta solange 4500080</x18tc:text>
  </x18tc:threadedComment>
  <x18tc:threadedComment ref="C16" dT="2025-04-17T16:37:23.00" personId="{8cadbcf0-d745-44de-b933-bd4ada8abb3a}" id="{943df702-8af9-4793-9629-f10a5efc73a6}" done="0">
    <x18tc:text xml:space="preserve">José Ercio 4519773</x18tc:text>
  </x18tc:threadedComment>
  <x18tc:threadedComment ref="C16" dT="2025-05-08T11:58:26.00" personId="{8cadbcf0-d745-44de-b933-bd4ada8abb3a}" id="{09c8cc97-48a8-42e6-b4dc-da3b03fc2f3a}" parentId="{943df702-8af9-4793-9629-f10a5efc73a6}">
    <x18tc:text xml:space="preserve">Adm M. Helena 4521649</x18tc:text>
  </x18tc:threadedComment>
  <x18tc:threadedComment ref="AA16" dT="2025-04-17T16:32:23.00" personId="{8cadbcf0-d745-44de-b933-bd4ada8abb3a}" id="{d255b753-386d-47b7-997c-94ee7b110168}" done="0">
    <x18tc:text xml:space="preserve">Gabriel Gouveia 4522910</x18tc:text>
  </x18tc:threadedComment>
  <x18tc:threadedComment ref="O14" dT="2025-04-14T17:14:51.00" personId="{8cadbcf0-d745-44de-b933-bd4ada8abb3a}" id="{f3b04d15-73e7-4a29-8ce1-713c9770bd9d}" done="0">
    <x18tc:text xml:space="preserve">Esmael 4516946</x18tc:text>
  </x18tc:threadedComment>
  <x18tc:threadedComment ref="P27" dT="2025-04-29T14:17:42.00" personId="{8cadbcf0-d745-44de-b933-bd4ada8abb3a}" id="{c90a7b6b-5662-4df3-b69b-f35cea383813}" done="0">
    <x18tc:text xml:space="preserve">óbito Sebastião</x18tc:text>
  </x18tc:threadedComment>
  <x18tc:threadedComment ref="F30" dT="2025-05-05T16:11:47.00" personId="{8cadbcf0-d745-44de-b933-bd4ada8abb3a}" id="{26290ebe-0c22-422c-a9e1-73ce47345bb7}" done="0">
    <x18tc:text xml:space="preserve">adm stanley 4516669</x18tc:text>
  </x18tc:threadedComment>
  <x18tc:threadedComment ref="B22" dT="2025-04-29T14:11:38.00" personId="{8cadbcf0-d745-44de-b933-bd4ada8abb3a}" id="{07796bb4-c501-4054-8fbb-e02250281b37}" done="0">
    <x18tc:text xml:space="preserve">admissão Noel AT: 4528768</x18tc:text>
  </x18tc:threadedComment>
  <x18tc:threadedComment ref="B31" dT="2025-04-29T14:11:08.00" personId="{8cadbcf0-d745-44de-b933-bd4ada8abb3a}" id="{fdc03c9a-7c56-4cca-b786-6c5038196def}" done="0">
    <x18tc:text xml:space="preserve">alta Noel M F</x18tc:text>
  </x18tc:threadedComment>
  <x18tc:threadedComment ref="B12" dT="2025-04-14T18:05:16.00" personId="{8cadbcf0-d745-44de-b933-bd4ada8abb3a}" id="{930bd25b-bc8d-4bfc-a31f-d18d06a69b68}" done="0">
    <x18tc:text xml:space="preserve">alta aline 4513675</x18tc:text>
  </x18tc:threadedComment>
  <x18tc:threadedComment ref="B25" dT="2025-04-23T15:19:34.00" personId="{8cadbcf0-d745-44de-b933-bd4ada8abb3a}" id="{bc01ac38-66c2-45f5-b88b-1cead3b87ace}" done="0">
    <x18tc:text xml:space="preserve">alta akira</x18tc:text>
  </x18tc:threadedComment>
  <x18tc:threadedComment ref="N13" dT="2025-04-14T17:34:55.00" personId="{8cadbcf0-d745-44de-b933-bd4ada8abb3a}" id="{fdc73acf-53f1-497f-bad7-85695088a3ee}" done="0">
    <x18tc:text xml:space="preserve">alta Rosa 4519448</x18tc:text>
  </x18tc:threadedComment>
  <x18tc:threadedComment ref="G12" dT="2025-04-14T17:59:52.00" personId="{8cadbcf0-d745-44de-b933-bd4ada8abb3a}" id="{e7dba19d-f554-449d-9f5e-6a9667e34b13}" done="0">
    <x18tc:text xml:space="preserve">Marieli 4520443</x18tc:text>
  </x18tc:threadedComment>
  <x18tc:threadedComment ref="C12" dT="2025-04-14T18:01:55.00" personId="{8cadbcf0-d745-44de-b933-bd4ada8abb3a}" id="{65ee4fca-01c9-4859-a71f-a2e1604b2aeb}" done="0">
    <x18tc:text xml:space="preserve">Luiz 4506799</x18tc:text>
  </x18tc:threadedComment>
  <x18tc:threadedComment ref="N17" dT="2025-04-22T19:12:26.00" personId="{8cadbcf0-d745-44de-b933-bd4ada8abb3a}" id="{4eabc79c-0299-420c-96bd-f5a6399d13ea}" done="0">
    <x18tc:text xml:space="preserve">alta Emael</x18tc:text>
  </x18tc:threadedComment>
  <x18tc:threadedComment ref="O17" dT="2025-04-22T19:12:47.00" personId="{8cadbcf0-d745-44de-b933-bd4ada8abb3a}" id="{412b993a-37a7-4c98-a3e1-dc5f8ee895e1}" done="0">
    <x18tc:text xml:space="preserve">Sebastião 4512265</x18tc:text>
  </x18tc:threadedComment>
  <x18tc:threadedComment ref="Q26" dT="2025-04-29T14:18:10.00" personId="{8cadbcf0-d745-44de-b933-bd4ada8abb3a}" id="{586ab908-13c7-470b-b245-352fb006afac}" done="0">
    <x18tc:text xml:space="preserve">Sebastião 448064</x18tc:text>
  </x18tc:threadedComment>
  <x18tc:threadedComment ref="C29" dT="2025-05-26T18:01:11.00" personId="{8cadbcf0-d745-44de-b933-bd4ada8abb3a}" id="{35a68a76-9b1b-4a09-9e39-2a46e6886905}" done="0">
    <x18tc:text xml:space="preserve">adm m. de fatima 4509310</x18tc:text>
  </x18tc:threadedComment>
  <x18tc:threadedComment ref="P13" dT="2025-04-14T17:01:09.00" personId="{8cadbcf0-d745-44de-b933-bd4ada8abb3a}" id="{073cdf18-9d28-46d4-bd93-dc69174f97c1}" done="0">
    <x18tc:text xml:space="preserve">alta Elivelton 4494789</x18tc:text>
  </x18tc:threadedComment>
  <x18tc:threadedComment ref="B14" dT="2025-04-14T16:39:33.00" personId="{8cadbcf0-d745-44de-b933-bd4ada8abb3a}" id="{e4f930d2-fdd6-404e-b23a-25ab0584107f}" done="0">
    <x18tc:text xml:space="preserve">alta Luiz Rodrigues</x18tc:text>
  </x18tc:threadedComment>
  <x18tc:threadedComment ref="F7" dT="2025-04-04T13:44:21.00" personId="{8cadbcf0-d745-44de-b933-bd4ada8abb3a}" id="{e6b5935a-ed98-40cc-9b26-7e1623e5a122}" done="0">
    <x18tc:text xml:space="preserve">ALTA MAURICIO 4509234</x18tc:text>
  </x18tc:threadedComment>
  <x18tc:threadedComment ref="B6" dT="2025-04-04T13:58:26.00" personId="{8cadbcf0-d745-44de-b933-bd4ada8abb3a}" id="{26b6a4da-c37b-47d1-a6a3-eaa50c208596}" done="0">
    <x18tc:text xml:space="preserve">ADM GENEROSA 4514943</x18tc:text>
  </x18tc:threadedComment>
  <x18tc:threadedComment ref="H25" dT="2025-06-12T13:38:03.00" personId="{8cadbcf0-d745-44de-b933-bd4ada8abb3a}" id="{2f0a1f7b-496a-4a24-8cc4-0f171217004b}" done="0">
    <x18tc:text xml:space="preserve">Alta Akira - 4507719</x18tc:text>
  </x18tc:threadedComment>
  <x18tc:threadedComment ref="O10" dT="2025-04-10T17:39:09.00" personId="{8cadbcf0-d745-44de-b933-bd4ada8abb3a}" id="{84f1a2ca-992a-48e0-850a-b287289489ac}" done="0">
    <x18tc:text xml:space="preserve">Valter palma 4516943</x18tc:text>
  </x18tc:threadedComment>
  <x18tc:threadedComment ref="C10" dT="2025-04-10T17:44:01.00" personId="{8cadbcf0-d745-44de-b933-bd4ada8abb3a}" id="{96fcf257-b048-42c7-a2c6-e2453a3fd9ab}" done="0">
    <x18tc:text xml:space="preserve">Alice Maria 4513675
Mauricio da Silva 4503179</x18tc:text>
  </x18tc:threadedComment>
  <x18tc:threadedComment ref="O30" dT="2025-05-16T12:52:29.00" personId="{8cadbcf0-d745-44de-b933-bd4ada8abb3a}" id="{c80fcd37-f301-4740-86f6-f11e65a22537}" done="0">
    <x18tc:text xml:space="preserve">adm pedro g 4529346</x18tc:text>
  </x18tc:threadedComment>
  <x18tc:threadedComment ref="C30" dT="2025-05-05T16:35:49.00" personId="{8cadbcf0-d745-44de-b933-bd4ada8abb3a}" id="{36340f6c-9c0f-4f32-9882-82221f3a787c}" done="0">
    <x18tc:text xml:space="preserve">adm pedro  4529346</x18tc:text>
  </x18tc:threadedComment>
  <x18tc:threadedComment ref="B19" dT="2025-04-17T14:32:37.00" personId="{8cadbcf0-d745-44de-b933-bd4ada8abb3a}" id="{c178d706-ae58-489d-83af-ee7fa129da85}" done="0">
    <x18tc:text xml:space="preserve">óbito Maurício 4503179
admissão Gabriela 4524815</x18tc:text>
  </x18tc:threadedComment>
  <x18tc:threadedComment ref="B19" dT="2025-04-17T16:37:36.00" personId="{8cadbcf0-d745-44de-b933-bd4ada8abb3a}" id="{7ed9a341-b961-4cd7-a7a5-94169a47a06c}" parentId="{c178d706-ae58-489d-83af-ee7fa129da85}">
    <x18tc:text xml:space="preserve">alta José Ercio</x18tc:text>
  </x18tc:threadedComment>
  <x18tc:threadedComment ref="C33" dT="2025-05-05T16:46:28.00" personId="{8cadbcf0-d745-44de-b933-bd4ada8abb3a}" id="{a6af684d-618d-4916-af56-b1b00128bd66}" done="0">
    <x18tc:text xml:space="preserve">adm giovani 4537893</x18tc:text>
  </x18tc:threadedComment>
  <x18tc:threadedComment ref="E32" dT="2025-05-05T16:38:38.00" personId="{8cadbcf0-d745-44de-b933-bd4ada8abb3a}" id="{df5e793a-9ef6-4e44-8b75-3e8821a95d32}" done="0">
    <x18tc:text xml:space="preserve">adm m de fatima 4509310</x18tc:text>
  </x18tc:threadedComment>
  <x18tc:threadedComment ref="G30" dT="2025-05-05T16:41:52.00" personId="{8cadbcf0-d745-44de-b933-bd4ada8abb3a}" id="{1ea1386e-2a11-4757-8cd4-3fd1c37f63ec}" done="0">
    <x18tc:text xml:space="preserve">adm stanley 4516669</x18tc:text>
  </x18tc:threadedComment>
  <x18tc:threadedComment ref="C25" dT="2025-04-24T13:40:26.00" personId="{8cadbcf0-d745-44de-b933-bd4ada8abb3a}" id="{b9e62119-3a5f-436c-acdc-d8f51de6e114}" done="0">
    <x18tc:text xml:space="preserve">Claudinei 4529461</x18tc:text>
  </x18tc:threadedComment>
  <x18tc:threadedComment ref="B26" dT="2025-04-24T13:42:09.00" personId="{8cadbcf0-d745-44de-b933-bd4ada8abb3a}" id="{fc66688b-7f0f-4ad8-b815-8b7cc3381e81}" done="0">
    <x18tc:text xml:space="preserve">alta Cleudinei</x18tc:text>
  </x18tc:threadedComment>
  <x18tc:threadedComment ref="Q9" dT="2025-04-10T14:25:59.00" personId="{8cadbcf0-d745-44de-b933-bd4ada8abb3a}" id="{a123e4d0-227b-4ea3-8e34-9d246d789e77}" done="0">
    <x18tc:text xml:space="preserve">Elivelton 4494789</x18tc:text>
  </x18tc:threadedComment>
  <x18tc:threadedComment ref="P12" dT="2025-04-10T14:26:12.00" personId="{8cadbcf0-d745-44de-b933-bd4ada8abb3a}" id="{ddbfc170-e9d0-461e-8559-062822e755c9}" done="0">
    <x18tc:text xml:space="preserve">alta do Elivelton</x18tc:text>
  </x18tc:threadedComment>
  <x18tc:threadedComment ref="N12" dT="2025-04-10T14:29:49.00" personId="{8cadbcf0-d745-44de-b933-bd4ada8abb3a}" id="{be3a7696-f634-4d7b-b8ff-6b4471053a24}" done="0">
    <x18tc:text xml:space="preserve">admissão Rosa 4519448</x18tc:text>
  </x18tc:threadedComment>
  <x18tc:threadedComment ref="R28" dT="2025-04-28T18:44:48.00" personId="{ed6452d4-e7cc-44d7-8056-79bc5a591000}" id="{cd55a55d-78a7-4919-8bad-6959b6f34a39}" done="0">
    <x18tc:text xml:space="preserve">óbito 4512265</x18tc:text>
  </x18tc:threadedComment>
  <x18tc:threadedComment ref="B28" dT="2025-04-28T18:46:11.00" personId="{ed6452d4-e7cc-44d7-8056-79bc5a591000}" id="{cb515b4d-30d9-49de-9a60-9db0c3a46b4b}" done="0">
    <x18tc:text xml:space="preserve">Adm 4528373/ óbito 4521598</x18tc:text>
  </x18tc:threadedComment>
  <x18tc:threadedComment ref="N28" dT="2025-04-28T18:44:41.00" personId="{ed6452d4-e7cc-44d7-8056-79bc5a591000}" id="{8bbba9af-4522-46ee-9103-747238b4fb74}" done="0">
    <x18tc:text xml:space="preserve">óbito 4512265</x18tc:text>
  </x18tc:threadedComment>
  <x18tc:threadedComment ref="B5" dT="2025-04-07T16:47:51.00" personId="{8cadbcf0-d745-44de-b933-bd4ada8abb3a}" id="{9570c103-e0bc-4636-9a66-f57ea7d44c15}" done="0">
    <x18tc:text xml:space="preserve">Daniel Bezerra - 4507283 positivado e alta</x18tc:text>
  </x18tc:threadedComment>
  <x18tc:threadedComment ref="B5" dT="2025-05-06T11:38:39.00" personId="{8cadbcf0-d745-44de-b933-bd4ada8abb3a}" id="{faa18c8a-8ed8-4770-88a7-c2f9ec7bce35}" parentId="{9570c103-e0bc-4636-9a66-f57ea7d44c15}">
    <x18tc:text xml:space="preserve">adm nazare 4502708</x18tc:text>
  </x18tc:threadedComment>
  <x18tc:threadedComment ref="B9" dT="2025-04-07T16:32:50.00" personId="{8cadbcf0-d745-44de-b933-bd4ada8abb3a}" id="{460a3363-2cb0-444b-b6c2-0bee2fa38fa2}" done="0">
    <x18tc:text xml:space="preserve">alta Generosa 4514943</x18tc:text>
  </x18tc:threadedComment>
  <x18tc:threadedComment ref="C32" dT="2025-05-15T11:23:41.00" personId="{8cadbcf0-d745-44de-b933-bd4ada8abb3a}" id="{2c4fb069-0f10-4c68-9d62-e4bebfcd6ad3}" done="0">
    <x18tc:text xml:space="preserve">ADM JURACY 4537443</x18tc:text>
  </x18tc:threadedComment>
  <x18tc:threadedComment ref="Q32" dT="2025-05-08T11:55:44.00" personId="{8cadbcf0-d745-44de-b933-bd4ada8abb3a}" id="{617386ab-91fd-4d5a-b0ee-ac54befbfeb1}" done="0">
    <x18tc:text xml:space="preserve">adm irineu 4536318</x18tc:text>
  </x18tc:threadedComment>
  <x18tc:threadedComment ref="B7" dT="2025-04-22T18:40:16.00" personId="{8cadbcf0-d745-44de-b933-bd4ada8abb3a}" id="{f20e5ea9-1b99-46d1-9546-0c664ec20ffa}" done="0">
    <x18tc:text xml:space="preserve">admissão Akira 4507719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5" dT="2025-05-14T14:21:44.00" personId="{8cadbcf0-d745-44de-b933-bd4ada8abb3a}" id="{b6065c50-aaf8-4a26-933a-465c82c7fb52}" done="0">
    <x18tc:text xml:space="preserve">alta iracema 4539967</x18tc:text>
  </x18tc:threadedComment>
  <x18tc:threadedComment ref="N15" dT="2025-05-16T12:48:13.00" personId="{8cadbcf0-d745-44de-b933-bd4ada8abb3a}" id="{5bece914-f4a6-4b4f-81ee-df30d51de122}" parentId="{b6065c50-aaf8-4a26-933a-465c82c7fb52}">
    <x18tc:text xml:space="preserve">Alta Maria de F. 4509310</x18tc:text>
  </x18tc:threadedComment>
  <x18tc:threadedComment ref="B20" dT="2025-05-19T11:14:09.00" personId="{8cadbcf0-d745-44de-b933-bd4ada8abb3a}" id="{e69c20d9-3fbf-4c9a-ba6a-9e60e843ad7a}" done="0">
    <x18tc:text xml:space="preserve">óbito juracy 4537443</x18tc:text>
  </x18tc:threadedComment>
  <x18tc:threadedComment ref="C31" dT="2025-06-02T17:27:18.00" personId="{8cadbcf0-d745-44de-b933-bd4ada8abb3a}" id="{8deb1a95-f11d-4972-9b50-e6553fcd49bf}" done="0">
    <x18tc:text xml:space="preserve">ADM EDVALDO 4561767</x18tc:text>
  </x18tc:threadedComment>
  <x18tc:threadedComment ref="B33" dT="2025-06-02T17:27:49.00" personId="{8cadbcf0-d745-44de-b933-bd4ada8abb3a}" id="{d13f04b3-d471-4c19-a271-ccb90cc442fd}" done="0">
    <x18tc:text xml:space="preserve">ALTA EDVALDO 4561767</x18tc:text>
  </x18tc:threadedComment>
  <x18tc:threadedComment ref="B6" dT="2025-05-05T14:33:27.00" personId="{8cadbcf0-d745-44de-b933-bd4ada8abb3a}" id="{710494ff-be00-43f6-8e8b-7dc3fd907ee7}" done="0">
    <x18tc:text xml:space="preserve">alta nazaré 4502708</x18tc:text>
  </x18tc:threadedComment>
  <x18tc:threadedComment ref="B6" dT="2025-05-07T12:47:27.00" personId="{8cadbcf0-d745-44de-b933-bd4ada8abb3a}" id="{eaee4366-5ebb-4139-b62d-7179325a6262}" parentId="{710494ff-be00-43f6-8e8b-7dc3fd907ee7}">
    <x18tc:text xml:space="preserve">Alta geraldo 4534739</x18tc:text>
  </x18tc:threadedComment>
  <x18tc:threadedComment ref="B6" dT="2025-05-12T13:15:50.00" personId="{8cadbcf0-d745-44de-b933-bd4ada8abb3a}" id="{f9a435f2-4a48-42e2-9267-dc71c9075127}" parentId="{710494ff-be00-43f6-8e8b-7dc3fd907ee7}">
    <x18tc:text xml:space="preserve">óbito m. helena 4521649</x18tc:text>
  </x18tc:threadedComment>
  <x18tc:threadedComment ref="C5" dT="2025-05-07T12:47:00.00" personId="{8cadbcf0-d745-44de-b933-bd4ada8abb3a}" id="{48f65be0-b90e-48b8-a764-13c9500428e9}" done="0">
    <x18tc:text xml:space="preserve">Adm Geraldo 4534739</x18tc:text>
  </x18tc:threadedComment>
  <x18tc:threadedComment ref="C5" dT="2025-05-15T11:25:13.00" personId="{8cadbcf0-d745-44de-b933-bd4ada8abb3a}" id="{9420886b-e0bb-4a82-8bca-17f72c7dbc12}" parentId="{48f65be0-b90e-48b8-a764-13c9500428e9}">
    <x18tc:text xml:space="preserve">Adm Laerte 4539906</x18tc:text>
  </x18tc:threadedComment>
  <x18tc:threadedComment ref="C15" dT="2025-05-14T14:17:14.00" personId="{8cadbcf0-d745-44de-b933-bd4ada8abb3a}" id="{a718cb59-14fe-47db-9350-85f3e1b50030}" done="0">
    <x18tc:text xml:space="preserve">adm geraldo h. 4545861</x18tc:text>
  </x18tc:threadedComment>
  <x18tc:threadedComment ref="B16" dT="2025-05-14T14:17:39.00" personId="{8cadbcf0-d745-44de-b933-bd4ada8abb3a}" id="{ec20886f-037e-4cc2-b2c9-ce03b052c6ce}" done="0">
    <x18tc:text xml:space="preserve">alta geraldo h. 4545861</x18tc:text>
  </x18tc:threadedComment>
  <x18tc:threadedComment ref="F5" dT="2025-05-05T16:12:18.00" personId="{8cadbcf0-d745-44de-b933-bd4ada8abb3a}" id="{6880e6de-60f5-43c8-a6d8-cf26189d330e}" done="0">
    <x18tc:text xml:space="preserve">alta stanley 4516669</x18tc:text>
  </x18tc:threadedComment>
  <x18tc:threadedComment ref="B30" dT="2025-05-28T16:30:46.00" personId="{8cadbcf0-d745-44de-b933-bd4ada8abb3a}" id="{d66b395a-4a42-429f-8957-5970b9767245}" done="0">
    <x18tc:text xml:space="preserve">alta jose correa 4561804</x18tc:text>
  </x18tc:threadedComment>
  <x18tc:threadedComment ref="Q26" dT="2025-05-28T16:32:31.00" personId="{8cadbcf0-d745-44de-b933-bd4ada8abb3a}" id="{dfa43a33-5b71-45d8-bd68-927633438f23}" done="0">
    <x18tc:text xml:space="preserve">Adm Rosemary 4559723</x18tc:text>
  </x18tc:threadedComment>
  <x18tc:threadedComment ref="P30" dT="2025-05-28T16:32:59.00" personId="{8cadbcf0-d745-44de-b933-bd4ada8abb3a}" id="{80f621e5-40b7-453f-bbca-2634baf95a65}" done="0">
    <x18tc:text xml:space="preserve">Alta rosemary 4559723</x18tc:text>
  </x18tc:threadedComment>
  <x18tc:threadedComment ref="C13" dT="2025-05-15T11:29:03.00" personId="{8cadbcf0-d745-44de-b933-bd4ada8abb3a}" id="{d1b7df45-f890-4355-bb8a-f677c699918e}" done="0">
    <x18tc:text xml:space="preserve">Adm Luis F. 4545998</x18tc:text>
  </x18tc:threadedComment>
  <x18tc:threadedComment ref="B15" dT="2025-05-15T11:27:51.00" personId="{8cadbcf0-d745-44de-b933-bd4ada8abb3a}" id="{2d7bd58e-fb5d-4bdb-939a-ecbfde49586a}" done="0">
    <x18tc:text xml:space="preserve">Alta Dione 4544679</x18tc:text>
  </x18tc:threadedComment>
  <x18tc:threadedComment ref="B15" dT="2025-05-15T11:29:22.00" personId="{8cadbcf0-d745-44de-b933-bd4ada8abb3a}" id="{0df8daed-6f1f-4e41-9c90-a0384b524eb2}" parentId="{2d7bd58e-fb5d-4bdb-939a-ecbfde49586a}">
    <x18tc:text xml:space="preserve">Alta Luis F. 4545998</x18tc:text>
  </x18tc:threadedComment>
  <x18tc:threadedComment ref="B15" dT="2025-05-22T12:17:12.00" personId="{8cadbcf0-d745-44de-b933-bd4ada8abb3a}" id="{936c3ff6-5033-4ca5-996c-c716bb80b73e}" parentId="{2d7bd58e-fb5d-4bdb-939a-ecbfde49586a}">
    <x18tc:text xml:space="preserve">Alta Iracema 4539967</x18tc:text>
  </x18tc:threadedComment>
  <x18tc:threadedComment ref="B13" dT="2025-05-15T11:31:16.00" personId="{8cadbcf0-d745-44de-b933-bd4ada8abb3a}" id="{efcd1f6a-98a5-4de0-a28d-e7abed47c1b3}" done="0">
    <x18tc:text xml:space="preserve">Óbito Maria H. 4521649</x18tc:text>
  </x18tc:threadedComment>
  <x18tc:threadedComment ref="C11" dT="2025-05-15T11:27:42.00" personId="{8cadbcf0-d745-44de-b933-bd4ada8abb3a}" id="{1a3e8156-77b1-4fee-a2c7-e2bbc643dd13}" done="0">
    <x18tc:text xml:space="preserve">Adm Dione 4544679</x18tc:text>
  </x18tc:threadedComment>
  <x18tc:threadedComment ref="E34" dT="2025-06-04T12:51:54.00" personId="{8cadbcf0-d745-44de-b933-bd4ada8abb3a}" id="{25a2a5b5-a0ff-4d1b-9e58-6a396dba1bb2}" done="0">
    <x18tc:text xml:space="preserve">Dionysio - 4550562</x18tc:text>
  </x18tc:threadedComment>
  <x18tc:threadedComment ref="O5" dT="2025-05-09T12:34:42.00" personId="{8cadbcf0-d745-44de-b933-bd4ada8abb3a}" id="{9121ed6a-b502-48bb-a015-217769631dfc}" done="0">
    <x18tc:text xml:space="preserve">adm Iracema 4539967</x18tc:text>
  </x18tc:threadedComment>
  <x18tc:threadedComment ref="B5" dT="2025-05-05T16:19:08.00" personId="{8cadbcf0-d745-44de-b933-bd4ada8abb3a}" id="{485e89d2-367d-4680-8570-322cf407788e}" done="0">
    <x18tc:text xml:space="preserve">alta lidia r 4539135</x18tc:text>
  </x18tc:threadedComment>
  <x18tc:threadedComment ref="B21" dT="2025-05-21T15:50:26.00" personId="{8cadbcf0-d745-44de-b933-bd4ada8abb3a}" id="{494397df-0f02-4826-ab5e-84ab00802d25}" done="0">
    <x18tc:text xml:space="preserve">Alta Odete 4547735</x18tc:text>
  </x18tc:threadedComment>
  <x18tc:threadedComment ref="C20" dT="2025-05-21T15:49:58.00" personId="{8cadbcf0-d745-44de-b933-bd4ada8abb3a}" id="{f033d561-0b06-4578-942a-6805a3eafca2}" done="0">
    <x18tc:text xml:space="preserve">ADM Odete 4547735</x18tc:text>
  </x18tc:threadedComment>
  <x18tc:threadedComment ref="I18" dT="2025-05-21T15:52:41.00" personId="{8cadbcf0-d745-44de-b933-bd4ada8abb3a}" id="{eb49661a-41c3-464f-8342-e8faa6d8e3ba}" done="0">
    <x18tc:text xml:space="preserve">ADM Ivanilda 4551899</x18tc:text>
  </x18tc:threadedComment>
  <x18tc:threadedComment ref="B31" dT="2025-05-29T12:16:56.00" personId="{8cadbcf0-d745-44de-b933-bd4ada8abb3a}" id="{1cf2930d-ea82-4a7a-ad21-0c814ef6a7a0}" done="0">
    <x18tc:text xml:space="preserve">alta Jandira 4548336</x18tc:text>
  </x18tc:threadedComment>
  <x18tc:threadedComment ref="C28" dT="2025-05-29T12:21:12.00" personId="{8cadbcf0-d745-44de-b933-bd4ada8abb3a}" id="{2acfe5d5-ccb1-4118-9738-092601f2aaf7}" done="0">
    <x18tc:text xml:space="preserve">adm rogerio 4554494</x18tc:text>
  </x18tc:threadedComment>
  <x18tc:threadedComment ref="C24" dT="2025-05-29T12:16:29.00" personId="{8cadbcf0-d745-44de-b933-bd4ada8abb3a}" id="{e022899f-71db-4aa2-91c9-b0f654cdf1a8}" done="0">
    <x18tc:text xml:space="preserve">Adm Jandira 4548336</x18tc:text>
  </x18tc:threadedComment>
  <x18tc:threadedComment ref="E26" dT="2025-05-29T12:42:45.00" personId="{8cadbcf0-d745-44de-b933-bd4ada8abb3a}" id="{725a3cc6-1d87-44e7-8395-b5aef7fd5563}" done="0">
    <x18tc:text xml:space="preserve">adm Rosemary  4559723</x18tc:text>
  </x18tc:threadedComment>
  <x18tc:threadedComment ref="E27" dT="2025-05-26T17:58:18.00" personId="{8cadbcf0-d745-44de-b933-bd4ada8abb3a}" id="{c44a14df-16fb-482c-aceb-7526033924ed}" done="0">
    <x18tc:text xml:space="preserve">Adm Maria de F. 4509310</x18tc:text>
  </x18tc:threadedComment>
  <x18tc:threadedComment ref="O29" dT="2025-05-29T12:23:15.00" personId="{8cadbcf0-d745-44de-b933-bd4ada8abb3a}" id="{5894ca29-1287-4b32-9bc6-faa86cad0ea1}" done="0">
    <x18tc:text xml:space="preserve">adm luiz ap 4554788</x18tc:text>
  </x18tc:threadedComment>
  <x18tc:threadedComment ref="B22" dT="2025-05-21T15:48:32.00" personId="{8cadbcf0-d745-44de-b933-bd4ada8abb3a}" id="{62d3dd33-63f8-45e9-bef9-7eac61b35e5c}" done="0">
    <x18tc:text xml:space="preserve">Alta Herminio 4550472</x18tc:text>
  </x18tc:threadedComment>
  <x18tc:threadedComment ref="C19" dT="2025-05-21T15:47:07.00" personId="{8cadbcf0-d745-44de-b933-bd4ada8abb3a}" id="{23bbdea9-b2d9-421a-ae7d-ceab970959e2}" done="0">
    <x18tc:text xml:space="preserve">ADM Herminio 4550472</x18tc:text>
  </x18tc:threadedComment>
  <x18tc:threadedComment ref="C12" dT="2025-05-16T13:17:30.00" personId="{8cadbcf0-d745-44de-b933-bd4ada8abb3a}" id="{512c03d9-cf8d-4974-81bb-72aa1afea613}" done="0">
    <x18tc:text xml:space="preserve">Adm Onofre 4539018</x18tc:text>
  </x18tc:threadedComment>
  <x18tc:threadedComment ref="O16" dT="2025-05-16T13:16:05.00" personId="{8cadbcf0-d745-44de-b933-bd4ada8abb3a}" id="{1543511f-f98c-4413-aa16-5b14e690c1d9}" done="0">
    <x18tc:text xml:space="preserve">ADM Gomercilio 4549117</x18tc:text>
  </x18tc:threadedComment>
  <x18tc:threadedComment ref="O8" dT="2025-05-16T12:47:39.00" personId="{8cadbcf0-d745-44de-b933-bd4ada8abb3a}" id="{a3fd9a36-b81e-4aa6-99d8-61edc3ebae49}" done="0">
    <x18tc:text xml:space="preserve">ADM Maria de F. 4509310</x18tc:text>
  </x18tc:threadedComment>
  <x18tc:threadedComment ref="C10" dT="2025-05-12T13:10:46.00" personId="{8cadbcf0-d745-44de-b933-bd4ada8abb3a}" id="{409249d9-f236-4841-826d-4dbf8302f349}" done="0">
    <x18tc:text xml:space="preserve">adm j. roberto 4544605</x18tc:text>
  </x18tc:threadedComment>
  <x18tc:threadedComment ref="N20" dT="2025-05-19T11:32:14.00" personId="{8cadbcf0-d745-44de-b933-bd4ada8abb3a}" id="{058ed472-2d99-4638-9ae6-9672770ad30a}" done="0">
    <x18tc:text xml:space="preserve">óbito valdemar 4542822</x18tc:text>
  </x18tc:threadedComment>
  <x18tc:threadedComment ref="P17" dT="2025-05-16T12:57:58.00" personId="{8cadbcf0-d745-44de-b933-bd4ada8abb3a}" id="{a7b8589d-4bf5-41ed-a6f8-189a8291c572}" done="0">
    <x18tc:text xml:space="preserve">óbito Irineu 4536318</x18tc:text>
  </x18tc:threadedComment>
  <x18tc:threadedComment ref="O9" dT="2025-05-19T11:29:43.00" personId="{8cadbcf0-d745-44de-b933-bd4ada8abb3a}" id="{3f27cce8-9265-4dd0-9189-c8431cb49fe4}" done="0">
    <x18tc:text xml:space="preserve">ADM Valdemar 4542822</x18tc:text>
  </x18tc:threadedComment>
  <x18tc:threadedComment ref="C8" dT="2025-05-22T12:15:58.00" personId="{8cadbcf0-d745-44de-b933-bd4ada8abb3a}" id="{0d28f4a5-cc7a-450d-b02c-392600c7cca4}" done="0">
    <x18tc:text xml:space="preserve">ADM Iracema 4539967</x18tc:text>
  </x18tc:threadedComment>
  <x18tc:threadedComment ref="B18" dT="2025-05-16T12:13:58.00" personId="{8cadbcf0-d745-44de-b933-bd4ada8abb3a}" id="{d29a3c90-ee18-4c34-b25d-57611ca49e6c}" done="0">
    <x18tc:text xml:space="preserve">Alta Laerte 4539906</x18tc:text>
  </x18tc:threadedComment>
  <x18tc:threadedComment ref="N17" dT="2025-05-16T12:53:54.00" personId="{8cadbcf0-d745-44de-b933-bd4ada8abb3a}" id="{84632995-eac8-41e6-ada5-f964d58e6a7a}" done="0">
    <x18tc:text xml:space="preserve">alta pedro g 4529346</x18tc:text>
  </x18tc:threadedComment>
  <x18tc:threadedComment ref="Q28" dT="2025-05-30T12:29:35.00" personId="{8cadbcf0-d745-44de-b933-bd4ada8abb3a}" id="{38a7285a-2abf-4990-952a-64111a1f764c}" done="0">
    <x18tc:text xml:space="preserve">adm lourdes 4554793</x18tc:text>
  </x18tc:threadedComment>
  <x18tc:threadedComment ref="O26" dT="2025-05-26T18:19:40.00" personId="{8cadbcf0-d745-44de-b933-bd4ada8abb3a}" id="{63af13a4-d2cf-462b-8876-b802d3f0cc81}" done="0">
    <x18tc:text xml:space="preserve">Adm Juaresteves 4557268</x18tc:text>
  </x18tc:threadedComment>
  <x18tc:threadedComment ref="H26" dT="2025-05-26T18:08:37.00" personId="{8cadbcf0-d745-44de-b933-bd4ada8abb3a}" id="{275b4889-a89b-4a5b-a3ae-9888e428ce32}" done="0">
    <x18tc:text xml:space="preserve">Óbito Ivanilda 4551899</x18tc:text>
  </x18tc:threadedComment>
  <x18tc:threadedComment ref="B27" dT="2025-05-26T18:06:24.00" personId="{8cadbcf0-d745-44de-b933-bd4ada8abb3a}" id="{ff8a53af-21a5-42b5-ab37-85bf98c4e4b7}" done="0">
    <x18tc:text xml:space="preserve">Alta Iracema 4539967</x18tc:text>
  </x18tc:threadedComment>
  <x18tc:threadedComment ref="B27" dT="2025-05-26T18:11:54.00" personId="{8cadbcf0-d745-44de-b933-bd4ada8abb3a}" id="{3f5a0c97-0625-4d41-8922-51165039b332}" parentId="{ff8a53af-21a5-42b5-ab37-85bf98c4e4b7}">
    <x18tc:text xml:space="preserve">Adm Jose correa 4561804</x18tc:text>
  </x18tc:threadedComment>
  <x18tc:threadedComment ref="Q29" dT="2025-05-30T12:28:18.00" personId="{8cadbcf0-d745-44de-b933-bd4ada8abb3a}" id="{e751f37d-f122-43b2-bd3a-920296fa5b54}" done="0">
    <x18tc:text xml:space="preserve">adm maria ap 4558408</x18tc:text>
  </x18tc:threadedComment>
  <x18tc:threadedComment ref="C27" dT="2025-05-26T18:01:48.00" personId="{8cadbcf0-d745-44de-b933-bd4ada8abb3a}" id="{aca60380-fe0d-459e-a9e3-0ecc8264fe7b}" done="0">
    <x18tc:text xml:space="preserve">adm m. de fatima 4509310</x18tc:text>
  </x18tc:threadedComment>
  <x18tc:threadedComment ref="C27" dT="2025-05-28T16:30:27.00" personId="{8cadbcf0-d745-44de-b933-bd4ada8abb3a}" id="{866a87b7-bc6c-4078-968c-b1e5903cfc37}" parentId="{aca60380-fe0d-459e-a9e3-0ecc8264fe7b}">
    <x18tc:text xml:space="preserve">ADM Jose correa 4561804</x18tc:text>
  </x18tc:threadedComment>
  <x18tc:threadedComment ref="O23" dT="2025-05-26T17:00:34.00" personId="{8cadbcf0-d745-44de-b933-bd4ada8abb3a}" id="{c49cfa61-dd8c-4b25-97db-30b0e97656f3}" done="0">
    <x18tc:text xml:space="preserve">Adm Emerenciana 4556084</x18tc:text>
  </x18tc:threadedComment>
  <x18tc:threadedComment ref="N25" dT="2025-05-26T17:01:00.00" personId="{8cadbcf0-d745-44de-b933-bd4ada8abb3a}" id="{55868236-903e-4656-a82c-63a7a05b333f}" done="0">
    <x18tc:text xml:space="preserve">Alta Emerenciana 4556084</x18tc:text>
  </x18tc:threadedComment>
  <x18tc:threadedComment ref="N25" dT="2025-05-26T17:14:27.00" personId="{8cadbcf0-d745-44de-b933-bd4ada8abb3a}" id="{ee418853-ef6e-46a6-99df-14c6287640ab}" parentId="{55868236-903e-4656-a82c-63a7a05b333f}">
    <x18tc:text xml:space="preserve">Alta Antonia G. 4557394</x18tc:text>
  </x18tc:threadedComment>
  <x18tc:threadedComment ref="E4" dT="2025-05-05T16:38:12.00" personId="{8cadbcf0-d745-44de-b933-bd4ada8abb3a}" id="{c6eca619-4211-4fa4-9d41-acc1c6436d51}" done="0">
    <x18tc:text xml:space="preserve">alta m de fatima 4509310</x18tc:text>
  </x18tc:threadedComment>
  <x18tc:threadedComment ref="O24" dT="2025-05-26T17:13:35.00" personId="{8cadbcf0-d745-44de-b933-bd4ada8abb3a}" id="{b4cbbf06-7609-43f7-b325-4b459eaa0ecd}" done="0">
    <x18tc:text xml:space="preserve">Adm Antonia G. 4557394</x18tc:text>
  </x18tc:threadedComment>
  <x18tc:threadedComment ref="C4" dT="2025-05-05T16:39:45.00" personId="{8cadbcf0-d745-44de-b933-bd4ada8abb3a}" id="{59a9d71f-a8eb-480a-94d9-221af1033ad9}" done="0">
    <x18tc:text xml:space="preserve">adm solange 4538263</x18tc:text>
  </x18tc:threadedComment>
  <x18tc:threadedComment ref="B24" dT="2025-05-22T12:19:57.00" personId="{8cadbcf0-d745-44de-b933-bd4ada8abb3a}" id="{e8fb90dc-255f-4a20-a60c-a8877ab32f97}" done="0">
    <x18tc:text xml:space="preserve">Alta Odete 4547735</x18tc:text>
  </x18tc:threadedComment>
  <x18tc:threadedComment ref="B24" dT="2025-05-26T18:05:55.00" personId="{8cadbcf0-d745-44de-b933-bd4ada8abb3a}" id="{6716b05b-32f5-46c0-8b1a-64496a77675f}" parentId="{e8fb90dc-255f-4a20-a60c-a8877ab32f97}">
    <x18tc:text xml:space="preserve">ADM Iracema 4539967</x18tc:text>
  </x18tc:threadedComment>
  <x18tc:threadedComment ref="O15" dT="2025-05-22T12:17:41.00" personId="{8cadbcf0-d745-44de-b933-bd4ada8abb3a}" id="{9fe305c5-13c0-4344-9dbf-3a6f45e2b8bb}" done="0">
    <x18tc:text xml:space="preserve">ADM Iracema 4539967</x18tc:text>
  </x18tc:threadedComment>
  <x18tc:threadedComment ref="D30" dT="2025-05-29T12:33:41.00" personId="{8cadbcf0-d745-44de-b933-bd4ada8abb3a}" id="{22b3ff15-4dd8-4e5d-9ec1-34543bfab5cd}" done="0">
    <x18tc:text xml:space="preserve">alta maria f 4554788</x18tc:text>
  </x18tc:threadedComment>
  <x18tc:threadedComment ref="D30" dT="2025-05-29T12:43:15.00" personId="{8cadbcf0-d745-44de-b933-bd4ada8abb3a}" id="{0a39f198-a960-482d-8967-de912db80336}" parentId="{22b3ff15-4dd8-4e5d-9ec1-34543bfab5cd}">
    <x18tc:text xml:space="preserve">alta rosemary 4559723</x18tc:text>
  </x18tc:threadedComment>
  <x18tc:threadedComment ref="N23" dT="2025-05-22T12:31:38.00" personId="{8cadbcf0-d745-44de-b933-bd4ada8abb3a}" id="{6b310a0b-8728-4602-a1df-527f8656b6e0}" done="0">
    <x18tc:text xml:space="preserve">Óbito Gomercilio 4549117</x18tc:text>
  </x18tc:threadedComment>
  <x18tc:threadedComment ref="C21" dT="2025-05-22T12:22:13.00" personId="{8cadbcf0-d745-44de-b933-bd4ada8abb3a}" id="{2c71dec1-21c4-4651-b830-58811deb9784}" done="0">
    <x18tc:text xml:space="preserve">Adm Herminio 4550472</x18tc:text>
  </x18tc:threadedComment>
  <x18tc:threadedComment ref="D27" dT="2025-05-29T12:33:18.00" personId="{8cadbcf0-d745-44de-b933-bd4ada8abb3a}" id="{89e0d2d8-ea81-463c-a8cc-0bc2bdb0fb0d}" done="0">
    <x18tc:text xml:space="preserve">adm maria f 4554788</x18tc:text>
  </x18tc:threadedComment>
  <x18tc:threadedComment ref="B4" dT="2025-05-05T16:02:14.00" personId="{8cadbcf0-d745-44de-b933-bd4ada8abb3a}" id="{78dc80b2-ca57-4562-a861-526da3b54f51}" done="0">
    <x18tc:text xml:space="preserve">alta m. de fatima 4509310</x18tc:text>
  </x18tc:threadedComment>
  <x18tc:threadedComment ref="B4" dT="2025-05-05T16:18:46.00" personId="{8cadbcf0-d745-44de-b933-bd4ada8abb3a}" id="{4aaeb254-834f-4d92-b5ba-2799513e99a1}" parentId="{78dc80b2-ca57-4562-a861-526da3b54f51}">
    <x18tc:text xml:space="preserve">adm lia r 4539135</x18tc:text>
  </x18tc:threadedComment>
  <x18tc:threadedComment ref="B34" dT="2025-06-05T11:32:36.00" personId="{8cadbcf0-d745-44de-b933-bd4ada8abb3a}" id="{4c6f51b8-b502-44ed-8ca7-2c5013eae2ee}" done="0">
    <x18tc:text xml:space="preserve">admissão 4568371 Edvaldo</x18tc:text>
  </x18tc:threadedComment>
  <x18tc:threadedComment ref="B8" dT="2025-05-06T11:40:44.00" personId="{8cadbcf0-d745-44de-b933-bd4ada8abb3a}" id="{e59652df-3b3c-4170-82df-a5487922a20c}" done="0">
    <x18tc:text xml:space="preserve">óbito nazaré 4502708</x18tc:text>
  </x18tc:threadedComment>
  <x18tc:threadedComment ref="E8" dT="2025-05-06T11:46:27.00" personId="{8cadbcf0-d745-44de-b933-bd4ada8abb3a}" id="{b66876fe-280f-422f-854a-17c048f60769}" done="0">
    <x18tc:text xml:space="preserve">adm maria 4509310</x18tc:text>
  </x18tc:threadedComment>
  <x18tc:threadedComment ref="P33" dT="2025-06-02T17:32:41.00" personId="{8cadbcf0-d745-44de-b933-bd4ada8abb3a}" id="{35fdbd00-2648-4812-8d34-955ce1425c85}" done="0">
    <x18tc:text xml:space="preserve">ÓBITO MARIA AP 4558408</x18tc:text>
  </x18tc:threadedComment>
  <x18tc:threadedComment ref="Q31" dT="2025-06-02T17:32:21.00" personId="{8cadbcf0-d745-44de-b933-bd4ada8abb3a}" id="{f949f3ff-b6e9-4bc0-ab27-91b0e0cbbee0}" done="0">
    <x18tc:text xml:space="preserve">ADM MARIA AP. 4558408</x18tc:tex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24" dT="2025-06-23T12:21:02.00" personId="{8cadbcf0-d745-44de-b933-bd4ada8abb3a}" id="{be4191fc-f140-46ff-b2b8-64c728151979}" done="0">
    <x18tc:text xml:space="preserve">Alta Thiago - 4581262</x18tc:text>
  </x18tc:threadedComment>
  <x18tc:threadedComment ref="B23" dT="2025-06-23T12:05:40.00" personId="{8cadbcf0-d745-44de-b933-bd4ada8abb3a}" id="{d060704b-c47a-4d53-8da5-22a49f60ff7d}" done="0">
    <x18tc:text xml:space="preserve">Óbito Ana - 4571645</x18tc:text>
  </x18tc:threadedComment>
  <x18tc:threadedComment ref="N24" dT="2025-06-23T12:17:19.00" personId="{8cadbcf0-d745-44de-b933-bd4ada8abb3a}" id="{dbc8140a-cb8d-4f8c-83dc-d888b4b5564c}" done="0">
    <x18tc:text xml:space="preserve">Alta Thiago - 4581262</x18tc:text>
  </x18tc:threadedComment>
  <x18tc:threadedComment ref="E6" dT="2025-06-06T11:57:31.00" personId="{8cadbcf0-d745-44de-b933-bd4ada8abb3a}" id="{a6ad7945-0931-489e-8e37-438a0f66060d}" done="0">
    <x18tc:text xml:space="preserve">ADM Edvaldo - 472231</x18tc:text>
  </x18tc:threadedComment>
  <x18tc:threadedComment ref="Q18" dT="2025-06-23T12:28:50.00" personId="{8cadbcf0-d745-44de-b933-bd4ada8abb3a}" id="{8ee121e7-ee7c-4834-8e43-2a18fa7d8209}" done="0">
    <x18tc:text xml:space="preserve">ADM Aparicio - 4578913</x18tc:text>
  </x18tc:threadedComment>
  <x18tc:threadedComment ref="P21" dT="2025-06-23T12:29:23.00" personId="{8cadbcf0-d745-44de-b933-bd4ada8abb3a}" id="{64eae617-1776-49ca-b014-0c255cfa8abf}" done="0">
    <x18tc:text xml:space="preserve">Alta Aparicio - 4578913</x18tc:text>
  </x18tc:threadedComment>
  <x18tc:threadedComment ref="O4" dT="2025-06-06T12:07:37.00" personId="{8cadbcf0-d745-44de-b933-bd4ada8abb3a}" id="{9ad76412-6138-4722-86c1-48498ef3f378}" done="0">
    <x18tc:text xml:space="preserve">ADM Claudio - 4568311</x18tc:text>
  </x18tc:threadedComment>
  <x18tc:threadedComment ref="I27" dT="2025-06-30T12:09:45.00" personId="{8cadbcf0-d745-44de-b933-bd4ada8abb3a}" id="{a7a81873-35d7-4e02-8c5d-dcb87b4fb38c}" done="0">
    <x18tc:text xml:space="preserve">Adm Edjane 4587206</x18tc:text>
  </x18tc:threadedComment>
  <x18tc:threadedComment ref="B7" dT="2025-06-04T12:11:31.00" personId="{8cadbcf0-d745-44de-b933-bd4ada8abb3a}" id="{9b075b4c-9e53-4861-b781-98b7e98b3ff5}" done="0">
    <x18tc:text xml:space="preserve">alta Nadir</x18tc:text>
  </x18tc:threadedComment>
  <x18tc:threadedComment ref="B7" dT="2025-06-05T11:44:50.00" personId="{8cadbcf0-d745-44de-b933-bd4ada8abb3a}" id="{9436c422-fc64-4f84-8f9f-207179d086cf}" parentId="{9b075b4c-9e53-4861-b781-98b7e98b3ff5}">
    <x18tc:text xml:space="preserve">alta Edvaldo</x18tc:text>
  </x18tc:threadedComment>
  <x18tc:threadedComment ref="B6" dT="2025-06-04T12:11:13.00" personId="{8cadbcf0-d745-44de-b933-bd4ada8abb3a}" id="{4b5c57ab-f6b4-4494-829a-dcda0aba7f8c}" done="0">
    <x18tc:text xml:space="preserve">Nadir 4562749</x18tc:text>
  </x18tc:threadedComment>
  <x18tc:threadedComment ref="B30" dT="2025-06-27T18:11:44.00" personId="{8cadbcf0-d745-44de-b933-bd4ada8abb3a}" id="{474d792b-b33f-4db0-b155-250853cff437}" done="0">
    <x18tc:text xml:space="preserve">ADM - Ivone 4573215</x18tc:text>
  </x18tc:threadedComment>
  <x18tc:threadedComment ref="N9" dT="2025-06-09T11:36:16.00" personId="{8cadbcf0-d745-44de-b933-bd4ada8abb3a}" id="{0f5bfafd-506f-4f52-a850-84f8844b3433}" done="0">
    <x18tc:text xml:space="preserve">Alta João 4572393</x18tc:text>
  </x18tc:threadedComment>
  <x18tc:threadedComment ref="O7" dT="2025-06-09T11:29:59.00" personId="{8cadbcf0-d745-44de-b933-bd4ada8abb3a}" id="{fd42ac66-840e-475d-ba72-4b5b46085364}" done="0">
    <x18tc:text xml:space="preserve">Adm João 4572393</x18tc:text>
  </x18tc:threadedComment>
  <x18tc:threadedComment ref="U22" dT="2025-06-24T11:09:23.00" personId="{8cadbcf0-d745-44de-b933-bd4ada8abb3a}" id="{426b1d51-44f1-474e-a913-1ab6507dbffc}" done="0">
    <x18tc:text xml:space="preserve">Janete 4577992</x18tc:text>
  </x18tc:threadedComment>
  <x18tc:threadedComment ref="O8" dT="2025-06-10T12:28:50.00" personId="{8cadbcf0-d745-44de-b933-bd4ada8abb3a}" id="{414d138d-131c-4d10-9c73-e4e2c5dc12b6}" done="0">
    <x18tc:text xml:space="preserve">Adm Jose 4562010</x18tc:text>
  </x18tc:threadedComment>
  <x18tc:threadedComment ref="Q8" dT="2025-06-10T12:28:30.00" personId="{8cadbcf0-d745-44de-b933-bd4ada8abb3a}" id="{44cfc5fc-63af-4c90-b143-e67d59954583}" done="0">
    <x18tc:text xml:space="preserve">Adm Jose 4562010</x18tc:text>
  </x18tc:threadedComment>
  <x18tc:threadedComment ref="O30" dT="2025-07-01T16:58:38.00" personId="{8cadbcf0-d745-44de-b933-bd4ada8abb3a}" id="{20237426-8de1-4574-b630-7f8e4bbb7e16}" done="0">
    <x18tc:text xml:space="preserve">Adm Edison 4588350</x18tc:text>
  </x18tc:threadedComment>
  <x18tc:threadedComment ref="N33" dT="2025-07-01T16:59:24.00" personId="{8cadbcf0-d745-44de-b933-bd4ada8abb3a}" id="{e3c576da-9146-4c4d-8609-35d5587f739e}" done="0">
    <x18tc:text xml:space="preserve">Alta Edison 4588350</x18tc:text>
  </x18tc:threadedComment>
  <x18tc:threadedComment ref="P13" dT="2025-06-11T12:49:11.00" personId="{8cadbcf0-d745-44de-b933-bd4ada8abb3a}" id="{7cfaaf44-f0cb-4c31-b979-3cc0f2d4b714}" done="0">
    <x18tc:text xml:space="preserve">Óbito José - 4562010</x18tc:text>
  </x18tc:threadedComment>
  <x18tc:threadedComment ref="N6" dT="2025-06-04T12:22:48.00" personId="{8cadbcf0-d745-44de-b933-bd4ada8abb3a}" id="{4228e067-ea05-4a0a-aa2b-d8d36cfbd154}" done="0">
    <x18tc:text xml:space="preserve">alta Juarestaves</x18tc:text>
  </x18tc:threadedComment>
  <x18tc:threadedComment ref="N6" dT="2025-06-06T12:09:38.00" personId="{8cadbcf0-d745-44de-b933-bd4ada8abb3a}" id="{1608ba88-ce34-4248-9688-274731be041f}" parentId="{4228e067-ea05-4a0a-aa2b-d8d36cfbd154}">
    <x18tc:text xml:space="preserve">Alta Claudio - 4568311</x18tc:text>
  </x18tc:threadedComment>
  <x18tc:threadedComment ref="U21" dT="2025-06-24T11:04:29.00" personId="{8cadbcf0-d745-44de-b933-bd4ada8abb3a}" id="{ace7f623-1e47-4c80-8db7-bea13ede7b76}" done="0">
    <x18tc:text xml:space="preserve">Airto 4574253</x18tc:text>
  </x18tc:threadedComment>
  <x18tc:threadedComment ref="S7" dT="2025-06-06T18:23:12.00" personId="{8cadbcf0-d745-44de-b933-bd4ada8abb3a}" id="{6a207571-2fad-4139-b4a1-d41456c288ee}" done="0">
    <x18tc:text xml:space="preserve">adm claodomiro 4562939</x18tc:text>
  </x18tc:threadedComment>
  <x18tc:threadedComment ref="B15" dT="2025-06-12T16:41:20.00" personId="{8cadbcf0-d745-44de-b933-bd4ada8abb3a}" id="{7869c6c5-bddd-493e-9432-5bdb270e5a4a}" done="0">
    <x18tc:text xml:space="preserve">Atualização da nova forma de coleta</x18tc:text>
  </x18tc:threadedComment>
  <x18tc:threadedComment ref="G9" dT="2025-06-11T13:17:12.00" personId="{8cadbcf0-d745-44de-b933-bd4ada8abb3a}" id="{857d406a-1039-4fad-92fb-5d1bd9906bfb}" done="0">
    <x18tc:text xml:space="preserve">ADM João - 4575686</x18tc:text>
  </x18tc:threadedComment>
  <x18tc:threadedComment ref="C5" dT="2025-06-06T14:23:12.00" personId="{8cadbcf0-d745-44de-b933-bd4ada8abb3a}" id="{ea27b055-f864-42a0-b29f-6333785609d9}" done="0">
    <x18tc:text xml:space="preserve">João 4563077</x18tc:text>
  </x18tc:threadedComment>
  <x18tc:threadedComment ref="G5" dT="2025-06-06T14:21:19.00" personId="{8cadbcf0-d745-44de-b933-bd4ada8abb3a}" id="{e754208e-e527-41c9-817f-695b4dcb61e5}" done="0">
    <x18tc:text xml:space="preserve">Luiz 4568885</x18tc:text>
  </x18tc:threadedComment>
  <x18tc:threadedComment ref="S4" dT="2025-06-06T14:31:51.00" personId="{8cadbcf0-d745-44de-b933-bd4ada8abb3a}" id="{c9c55cf2-5ae8-42bc-965d-eb07df461eb8}" done="0">
    <x18tc:text xml:space="preserve">Juarestaves 4557268</x18tc:text>
  </x18tc:threadedComment>
  <x18tc:threadedComment ref="S4" dT="2025-06-12T13:02:05.00" personId="{8cadbcf0-d745-44de-b933-bd4ada8abb3a}" id="{57e03fed-d306-4c7a-b23a-f591766d21da}" parentId="{c9c55cf2-5ae8-42bc-965d-eb07df461eb8}">
    <x18tc:text xml:space="preserve">Andre 4560004</x18tc:text>
  </x18tc:threadedComment>
  <x18tc:threadedComment ref="N13" dT="2025-06-12T11:21:43.00" personId="{8cadbcf0-d745-44de-b933-bd4ada8abb3a}" id="{e290ff97-0bff-4218-ba94-5a34662adc21}" done="0">
    <x18tc:text xml:space="preserve">Transferência para UTI B Ana - 4571645</x18tc:text>
  </x18tc:threadedComment>
  <x18tc:threadedComment ref="N13" dT="2025-06-12T11:55:47.00" personId="{8cadbcf0-d745-44de-b933-bd4ada8abb3a}" id="{2c1f1069-2a9b-4058-b51c-d195f442ba77}" parentId="{e290ff97-0bff-4218-ba94-5a34662adc21}">
    <x18tc:text xml:space="preserve">Óbito Jose - 4562010</x18tc:text>
  </x18tc:threadedComment>
  <x18tc:threadedComment ref="R6" dT="2025-06-06T14:31:28.00" personId="{8cadbcf0-d745-44de-b933-bd4ada8abb3a}" id="{13a7a647-62c8-46a2-9273-8c5c0c5c6f5b}" done="0">
    <x18tc:text xml:space="preserve">óbito Juarestaves 4557268</x18tc:text>
  </x18tc:threadedComment>
  <x18tc:threadedComment ref="D19" dT="2025-06-17T10:31:22.00" personId="{8cadbcf0-d745-44de-b933-bd4ada8abb3a}" id="{112ef070-2564-4820-a873-ac873398f1d8}" done="0">
    <x18tc:text xml:space="preserve">Alta Dionysio 4550562</x18tc:text>
  </x18tc:threadedComment>
  <x18tc:threadedComment ref="D15" dT="2025-06-12T16:41:26.00" personId="{8cadbcf0-d745-44de-b933-bd4ada8abb3a}" id="{35a68989-ba65-435d-b24f-2e40a6191096}" done="0">
    <x18tc:text xml:space="preserve">Atualização da nova forma de coleta</x18tc:text>
  </x18tc:threadedComment>
  <x18tc:threadedComment ref="F15" dT="2025-06-12T16:41:32.00" personId="{8cadbcf0-d745-44de-b933-bd4ada8abb3a}" id="{ee5280bb-d2cf-4fe1-b096-96b2eee01dea}" done="0">
    <x18tc:text xml:space="preserve">Atualização da nova forma de coleta</x18tc:text>
  </x18tc:threadedComment>
  <x18tc:threadedComment ref="R15" dT="2025-06-12T16:44:10.00" personId="{8cadbcf0-d745-44de-b933-bd4ada8abb3a}" id="{251f6849-fcc2-41af-b863-cd112a2e242d}" done="0">
    <x18tc:text xml:space="preserve">óbito Claodomiro - 4562939</x18tc:text>
  </x18tc:threadedComment>
  <x18tc:threadedComment ref="R15" dT="2025-06-16T11:23:10.00" personId="{8cadbcf0-d745-44de-b933-bd4ada8abb3a}" id="{47bb48b8-fe67-407e-a704-632b25943304}" parentId="{251f6849-fcc2-41af-b863-cd112a2e242d}">
    <x18tc:text xml:space="preserve">Atualização do novo método de coleta</x18tc:text>
  </x18tc:threadedComment>
  <x18tc:threadedComment ref="R5" dT="2025-06-12T13:04:22.00" personId="{8cadbcf0-d745-44de-b933-bd4ada8abb3a}" id="{97d30bc4-8057-4e1f-9a10-2dccac13b800}" done="0">
    <x18tc:text xml:space="preserve">alta Andre 4560004</x18tc:text>
  </x18tc:threadedComment>
  <x18tc:threadedComment ref="O12" dT="2025-06-12T11:44:31.00" personId="{8cadbcf0-d745-44de-b933-bd4ada8abb3a}" id="{b02320dc-20aa-49f0-b0dd-76eefb67554c}" done="0">
    <x18tc:text xml:space="preserve">ADM Marilene - 4575651</x18tc:text>
  </x18tc:threadedComment>
  <x18tc:threadedComment ref="O11" dT="2025-06-12T11:20:57.00" personId="{8cadbcf0-d745-44de-b933-bd4ada8abb3a}" id="{1de5201d-a1fc-435c-ad96-84462a48947d}" done="0">
    <x18tc:text xml:space="preserve">ADM Ana - 4571645</x18tc:text>
  </x18tc:threadedComment>
  <x18tc:threadedComment ref="N19" dT="2025-06-17T13:03:08.00" personId="{8cadbcf0-d745-44de-b933-bd4ada8abb3a}" id="{f62c6497-3318-4efb-9608-51de85dcee27}" done="0">
    <x18tc:text xml:space="preserve">Alta Luiz 4554788</x18tc:text>
  </x18tc:threadedComment>
  <x18tc:threadedComment ref="Q14" dT="2025-06-16T11:24:14.00" personId="{8cadbcf0-d745-44de-b933-bd4ada8abb3a}" id="{b7cee71e-c911-4125-82f0-cf093af6a86b}" done="0">
    <x18tc:text xml:space="preserve">Dircea 4566137</x18tc:text>
  </x18tc:threadedComment>
  <x18tc:threadedComment ref="E5" dT="2025-06-06T14:19:29.00" personId="{8cadbcf0-d745-44de-b933-bd4ada8abb3a}" id="{8f8faae7-537c-4893-865f-3789b08e4496}" done="0">
    <x18tc:text xml:space="preserve">Carlos 4546007</x18tc:text>
  </x18tc:threadedComment>
  <x18tc:threadedComment ref="N22" dT="2025-06-23T16:42:42.00" personId="{8cadbcf0-d745-44de-b933-bd4ada8abb3a}" id="{57e71465-e7bc-4cb0-9372-d223f4963a62}" done="0">
    <x18tc:text xml:space="preserve">Transferido da UTI B - Thiago 4581262</x18tc:text>
  </x18tc:threadedComment>
  <x18tc:threadedComment ref="P15" dT="2025-06-16T11:22:48.00" personId="{8cadbcf0-d745-44de-b933-bd4ada8abb3a}" id="{50d6fb00-cd21-4777-9712-5313bae72ce6}" done="0">
    <x18tc:text xml:space="preserve">Atualização do novo método de coleta</x18tc:text>
  </x18tc:threadedComment>
  <x18tc:threadedComment ref="C12" dT="2025-06-12T11:47:48.00" personId="{8cadbcf0-d745-44de-b933-bd4ada8abb3a}" id="{d2a95178-7a82-419b-8892-f6e8b66e9c31}" done="0">
    <x18tc:text xml:space="preserve">ADM Rogerio - 4554494</x18tc:text>
  </x18tc:threadedComment>
  <x18tc:threadedComment ref="P22" dT="2025-06-23T16:43:35.00" personId="{8cadbcf0-d745-44de-b933-bd4ada8abb3a}" id="{f24a93b0-2ef3-4678-90c2-fe2bfdf6647a}" done="0">
    <x18tc:text xml:space="preserve">Transferido da UTI B - Thiago 4581262</x18tc:text>
  </x18tc:threadedComment>
  <x18tc:threadedComment ref="O10" dT="2025-06-12T11:28:10.00" personId="{8cadbcf0-d745-44de-b933-bd4ada8abb3a}" id="{6657773c-eec3-4915-a250-837834b2a8df}" done="0">
    <x18tc:text xml:space="preserve">ADM Alneia - 4574546</x18tc:text>
  </x18tc:threadedComment>
  <x18tc:threadedComment ref="B13" dT="2025-06-12T11:23:07.00" personId="{8cadbcf0-d745-44de-b933-bd4ada8abb3a}" id="{5da8fdbc-0df7-4a85-9968-e0ecbf5bd204}" done="0">
    <x18tc:text xml:space="preserve">ADM da UTI C Ana - 4571645</x18tc:text>
  </x18tc:threadedComment>
  <x18tc:threadedComment ref="B13" dT="2025-06-12T11:49:52.00" personId="{8cadbcf0-d745-44de-b933-bd4ada8abb3a}" id="{0d74f962-1cd6-46ff-931c-9764ac0d14a5}" parentId="{5da8fdbc-0df7-4a85-9968-e0ecbf5bd204}">
    <x18tc:text xml:space="preserve">Alta Rogerio - 4554494</x18tc:text>
  </x18tc:threadedComment>
  <x18tc:threadedComment ref="B21" dT="2025-06-23T16:39:57.00" personId="{8cadbcf0-d745-44de-b933-bd4ada8abb3a}" id="{d60e517c-9e2e-428a-b813-d118ca7bdbe3}" done="0">
    <x18tc:text xml:space="preserve">Transferido p/ UTI C - Thiago 4581262</x18tc:text>
  </x18tc:threadedComment>
  <x18tc:threadedComment ref="D21" dT="2025-06-23T16:40:53.00" personId="{8cadbcf0-d745-44de-b933-bd4ada8abb3a}" id="{110e436a-a233-42b8-9ed5-23a24ad24b8a}" done="0">
    <x18tc:text xml:space="preserve">Transferido p/ UTI C - Thiago 4581262</x18tc:text>
  </x18tc:threadedComment>
  <x18tc:threadedComment ref="C20" dT="2025-06-23T16:38:22.00" personId="{8cadbcf0-d745-44de-b933-bd4ada8abb3a}" id="{cb2b883b-1a77-45c9-bc4f-6f89d3bc4c4e}" done="0">
    <x18tc:text xml:space="preserve">ADM Thiago - 4581262</x18tc:text>
  </x18tc:threadedComment>
  <x18tc:threadedComment ref="B20" dT="2025-06-18T10:28:59.00" personId="{8cadbcf0-d745-44de-b933-bd4ada8abb3a}" id="{48dd5ba4-7e7a-471b-8fe4-0f3f3f2c3d62}" done="0">
    <x18tc:text xml:space="preserve">óbito Maria Ap. 4568881</x18tc:text>
  </x18tc:threadedComment>
  <x18tc:threadedComment ref="B20" dT="2025-06-18T10:39:28.00" personId="{8cadbcf0-d745-44de-b933-bd4ada8abb3a}" id="{d484fdd8-286f-478f-bc8e-6afe54a3e7b9}" parentId="{48dd5ba4-7e7a-471b-8fe4-0f3f3f2c3d62}">
    <x18tc:text xml:space="preserve">alta Mauri 4581140</x18tc:text>
  </x18tc:threadedComment>
  <x18tc:threadedComment ref="P7" dT="2025-06-05T12:00:52.00" personId="{8cadbcf0-d745-44de-b933-bd4ada8abb3a}" id="{2430ae8e-9f9b-433f-bfa3-20b32abfcba0}" done="0">
    <x18tc:text xml:space="preserve">Óbito Lourdes 4554793</x18tc:text>
  </x18tc:threadedComment>
  <x18tc:threadedComment ref="D7" dT="2025-06-05T11:45:01.00" personId="{8cadbcf0-d745-44de-b933-bd4ada8abb3a}" id="{78d28b54-af0d-4d8b-aad2-f23ac3b9348d}" done="0">
    <x18tc:text xml:space="preserve">alta Edvaldo</x18tc:text>
  </x18tc:threadedComment>
  <x18tc:threadedComment ref="F27" dT="2025-06-25T10:46:01.00" personId="{8cadbcf0-d745-44de-b933-bd4ada8abb3a}" id="{b4a8dd4b-87ca-46b1-a380-1d15fcc2ee22}" done="0">
    <x18tc:text xml:space="preserve">Óbito - Luiz 4568885</x18tc:text>
  </x18tc:threadedComment>
  <x18tc:threadedComment ref="C14" dT="2025-06-16T11:39:05.00" personId="{8cadbcf0-d745-44de-b933-bd4ada8abb3a}" id="{66ab2344-1b7c-4677-9e9d-38834455d997}" done="0">
    <x18tc:text xml:space="preserve">Adm Ivone 4573215</x18tc:text>
  </x18tc:threadedComment>
  <x18tc:threadedComment ref="N27" dT="2025-06-25T10:37:39.00" personId="{8cadbcf0-d745-44de-b933-bd4ada8abb3a}" id="{b63425d2-68fa-4fc1-a0ca-2b6b7c708d51}" done="0">
    <x18tc:text xml:space="preserve">Alta - Alneia 4574546</x18tc:text>
  </x18tc:threadedComment>
  <x18tc:threadedComment ref="E33" dT="2025-07-03T11:35:36.00" personId="{8cadbcf0-d745-44de-b933-bd4ada8abb3a}" id="{6cd93380-a267-4deb-a2fc-aae6eab4c7c1}" done="0">
    <x18tc:text xml:space="preserve">Adm Marcelo 4574398</x18tc:text>
  </x18tc:threadedComment>
  <x18tc:threadedComment ref="N15" dT="2025-06-16T11:18:24.00" personId="{8cadbcf0-d745-44de-b933-bd4ada8abb3a}" id="{3d1a8733-ba16-4803-9467-8f51b67134ba}" done="0">
    <x18tc:text xml:space="preserve">Atualização do novo método de coleta</x18tc:text>
  </x18tc:threadedComment>
  <x18tc:threadedComment ref="C26" dT="2025-06-25T17:09:34.00" personId="{8cadbcf0-d745-44de-b933-bd4ada8abb3a}" id="{14f3fdbc-54e3-4dee-bc7a-4d7f874a1922}" done="0">
    <x18tc:text xml:space="preserve">Adm Marcelo  4574398</x18tc:text>
  </x18tc:threadedComment>
  <x18tc:threadedComment ref="P18" dT="2025-06-16T11:17:47.00" personId="{8cadbcf0-d745-44de-b933-bd4ada8abb3a}" id="{4ee3b52c-09c7-4222-b373-3d7bfebe797c}" done="0">
    <x18tc:text xml:space="preserve">óbito Dircea 4566137</x18tc:text>
  </x18tc:threadedComment>
  <x18tc:threadedComment ref="D16" dT="2025-06-16T10:56:08.00" personId="{8cadbcf0-d745-44de-b933-bd4ada8abb3a}" id="{3f57a131-2123-4238-bf05-c5627a5f57be}" done="0">
    <x18tc:text xml:space="preserve">óbito Carlos 4546007</x18tc:text>
  </x18tc:threadedComment>
  <x18tc:threadedComment ref="B18" dT="2025-06-16T10:49:41.00" personId="{8cadbcf0-d745-44de-b933-bd4ada8abb3a}" id="{acd755a9-1b55-48bf-b82b-223f1f44df30}" done="0">
    <x18tc:text xml:space="preserve">Adm Mauri 4581140</x18tc:text>
  </x18tc:threadedComment>
  <x18tc:threadedComment ref="B27" dT="2025-06-25T10:30:54.00" personId="{8cadbcf0-d745-44de-b933-bd4ada8abb3a}" id="{fa2c2256-9353-49da-b44e-0e225db64c88}" done="0">
    <x18tc:text xml:space="preserve">Alta - Ivone 4573215</x18tc:text>
  </x18tc:threadedComment>
  <x18tc:threadedComment ref="N16" dT="2025-06-16T11:29:26.00" personId="{8cadbcf0-d745-44de-b933-bd4ada8abb3a}" id="{a406c9fa-db97-43f8-803d-98598ceb78cd}" done="0">
    <x18tc:text xml:space="preserve">alta Marilene 4575651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O24" dT="2025-07-24T11:51:04.00" personId="{8cadbcf0-d745-44de-b933-bd4ada8abb3a}" id="{ac019819-a25d-4aa0-a216-b168de9c2fb3}" done="0">
    <x18tc:text xml:space="preserve">Adm Roberth 4600646</x18tc:text>
  </x18tc:threadedComment>
  <x18tc:threadedComment ref="C28" dT="2025-07-28T19:05:41.00" personId="{8cadbcf0-d745-44de-b933-bd4ada8abb3a}" id="{d325c5bf-f66e-4445-a5d4-cc694c0943bb}" done="0">
    <x18tc:text xml:space="preserve">Adm Eduardo 4616437</x18tc:text>
  </x18tc:threadedComment>
  <x18tc:threadedComment ref="C23" dT="2025-07-24T11:45:35.00" personId="{8cadbcf0-d745-44de-b933-bd4ada8abb3a}" id="{bf455af2-a9de-4671-bb1b-440e110b7be2}" done="0">
    <x18tc:text xml:space="preserve">Adm Josiana 4603178</x18tc:text>
  </x18tc:threadedComment>
  <x18tc:threadedComment ref="B6" dT="2025-07-04T10:37:57.00" personId="{8cadbcf0-d745-44de-b933-bd4ada8abb3a}" id="{3f635b70-1eb1-45c2-80da-0f24c26037ad}" done="0">
    <x18tc:text xml:space="preserve">óbito Marcelo 4574398</x18tc:text>
  </x18tc:threadedComment>
  <x18tc:threadedComment ref="B32" dT="2025-07-30T11:40:36.00" personId="{8cadbcf0-d745-44de-b933-bd4ada8abb3a}" id="{01edebc7-e0ad-4fb3-937f-66ad084531ae}" done="0">
    <x18tc:text xml:space="preserve">Alta Eduardo 4616437</x18tc:text>
  </x18tc:threadedComment>
  <x18tc:threadedComment ref="C32" dT="2025-07-30T11:36:44.00" personId="{8cadbcf0-d745-44de-b933-bd4ada8abb3a}" id="{af182078-cee3-4cec-b726-25ddba180d4e}" done="0">
    <x18tc:text xml:space="preserve">Adm Caio 4604083</x18tc:text>
  </x18tc:threadedComment>
  <x18tc:threadedComment ref="H31" dT="2025-07-29T11:25:32.00" personId="{8cadbcf0-d745-44de-b933-bd4ada8abb3a}" id="{809f73d2-28dc-45ce-a50c-23da3600ed9b}" done="0">
    <x18tc:text xml:space="preserve">Alta Edjane 4587206</x18tc:text>
  </x18tc:threadedComment>
  <x18tc:threadedComment ref="B22" dT="2025-07-21T10:48:52.00" personId="{8cadbcf0-d745-44de-b933-bd4ada8abb3a}" id="{dac19b07-8f00-4032-813b-83ee9a9e1232}" done="0">
    <x18tc:text xml:space="preserve">Óbito Jacyra 4588340</x18tc:text>
  </x18tc:threadedComment>
  <x18tc:threadedComment ref="C18" dT="2025-07-21T11:09:37.00" personId="{8cadbcf0-d745-44de-b933-bd4ada8abb3a}" id="{1420da7c-734a-47bb-817a-55e0ecb6e89c}" done="0">
    <x18tc:text xml:space="preserve">Adm Andressa 4607157</x18tc:text>
  </x18tc:threadedComment>
  <x18tc:threadedComment ref="O27" dT="2025-07-28T12:00:39.00" personId="{8cadbcf0-d745-44de-b933-bd4ada8abb3a}" id="{a7de3aad-cbca-4969-8572-3ba637a2cc34}" done="0">
    <x18tc:text xml:space="preserve">Adm Flordenis 4615492</x18tc:text>
  </x18tc:threadedComment>
  <x18tc:threadedComment ref="B13" dT="2025-07-10T17:39:10.00" personId="{8cadbcf0-d745-44de-b933-bd4ada8abb3a}" id="{c90a0749-3e8d-48b5-9d3a-a123877fb1f9}" done="0">
    <x18tc:text xml:space="preserve">Alta Ivone 4573215</x18tc:text>
  </x18tc:threadedComment>
  <x18tc:threadedComment ref="H25" dT="2025-07-23T10:40:59.00" personId="{8cadbcf0-d745-44de-b933-bd4ada8abb3a}" id="{a21f741c-4233-499b-a13a-77a31ae9fa68}" done="0">
    <x18tc:text xml:space="preserve">Alta Edjane 4587206</x18tc:text>
  </x18tc:threadedComment>
  <x18tc:threadedComment ref="N34" dT="2025-08-01T12:50:06.00" personId="{8cadbcf0-d745-44de-b933-bd4ada8abb3a}" id="{be8604dd-0560-4c59-9d0e-f6607c5d0860}" done="0">
    <x18tc:text xml:space="preserve">óbito Genival 4611360</x18tc:text>
  </x18tc:threadedComment>
  <x18tc:threadedComment ref="B24" dT="2025-07-24T11:38:46.00" personId="{8cadbcf0-d745-44de-b933-bd4ada8abb3a}" id="{791b381e-1892-4c10-b4f7-d7eabe955434}" done="0">
    <x18tc:text xml:space="preserve">óbito Vicente 4598472</x18tc:text>
  </x18tc:threadedComment>
  <x18tc:threadedComment ref="B24" dT="2025-07-24T11:46:06.00" personId="{8cadbcf0-d745-44de-b933-bd4ada8abb3a}" id="{65953db7-03ab-428c-ab6c-ea67ecf263ec}" parentId="{791b381e-1892-4c10-b4f7-d7eabe955434}">
    <x18tc:text xml:space="preserve">Alta Josiana 4603178</x18tc:text>
  </x18tc:threadedComment>
  <x18tc:threadedComment ref="B25" dT="2025-07-24T11:40:00.00" personId="{8cadbcf0-d745-44de-b933-bd4ada8abb3a}" id="{f6e46966-edd2-41a9-812d-dda25a36c356}" done="0">
    <x18tc:text xml:space="preserve">Alta Caio 4604083</x18tc:text>
  </x18tc:threadedComment>
  <x18tc:threadedComment ref="O21" dT="2025-07-23T11:32:46.00" personId="{8cadbcf0-d745-44de-b933-bd4ada8abb3a}" id="{40d461e1-df49-417d-b139-31ce8c7e9a40}" done="0">
    <x18tc:text xml:space="preserve">Adm Genival 4611360</x18tc:text>
  </x18tc:threadedComment>
  <x18tc:threadedComment ref="O22" dT="2025-07-23T11:31:58.00" personId="{8cadbcf0-d745-44de-b933-bd4ada8abb3a}" id="{b8befe64-9157-4777-86dd-917d721e43d0}" done="0">
    <x18tc:text xml:space="preserve">Adm Gilberto 4609807</x18tc:text>
  </x18tc:threadedComment>
  <x18tc:threadedComment ref="I26" dT="2025-07-24T11:17:10.00" personId="{8cadbcf0-d745-44de-b933-bd4ada8abb3a}" id="{02f21446-c899-451b-9184-fed8ac9ece10}" done="0">
    <x18tc:text xml:space="preserve">Adm Edjane 4587206</x18tc:text>
  </x18tc:threadedComment>
  <x18tc:threadedComment ref="C24" dT="2025-07-24T11:36:08.00" personId="{8cadbcf0-d745-44de-b933-bd4ada8abb3a}" id="{5c613b75-9aef-47fc-872d-b2c35138fffe}" done="0">
    <x18tc:text xml:space="preserve">Adm Caio 4604083</x18tc:text>
  </x18tc:threadedComment>
  <x18tc:threadedComment ref="C31" dT="2025-07-31T13:08:30.00" personId="{8cadbcf0-d745-44de-b933-bd4ada8abb3a}" id="{7805f102-49a5-460e-81b7-01812f06add1}" done="0">
    <x18tc:text xml:space="preserve">Adm Willian 4615565</x18tc:text>
  </x18tc:threadedComment>
  <x18tc:threadedComment ref="C31" dT="2025-07-31T13:13:58.00" personId="{8cadbcf0-d745-44de-b933-bd4ada8abb3a}" id="{b90ade88-b44a-40cb-b76b-2cd23e6adb1b}" parentId="{7805f102-49a5-460e-81b7-01812f06add1}">
    <x18tc:text xml:space="preserve">Adm José 4610388 (óbito no mesmo dia)</x18tc:text>
  </x18tc:threadedComment>
  <x18tc:threadedComment ref="O30" dT="2025-07-31T13:02:24.00" personId="{8cadbcf0-d745-44de-b933-bd4ada8abb3a}" id="{7e12dc08-922b-4a94-a357-f9b25f69c9b1}" done="0">
    <x18tc:text xml:space="preserve">Adm Irineu 4617907</x18tc:text>
  </x18tc:threadedComment>
  <x18tc:threadedComment ref="O30" dT="2025-07-31T13:10:03.00" personId="{8cadbcf0-d745-44de-b933-bd4ada8abb3a}" id="{7b22b1ac-af80-472b-9804-421307ec5145}" parentId="{7e12dc08-922b-4a94-a357-f9b25f69c9b1}">
    <x18tc:text xml:space="preserve">Adm Roberto 4612308 (óbito no mesmo dia)</x18tc:text>
  </x18tc:threadedComment>
  <x18tc:threadedComment ref="T8" dT="2025-07-07T11:09:39.00" personId="{8cadbcf0-d745-44de-b933-bd4ada8abb3a}" id="{27a8b837-84f5-476e-bf2a-9586618fc785}" done="0">
    <x18tc:text xml:space="preserve">Óbito Airto 4574253</x18tc:text>
  </x18tc:threadedComment>
  <x18tc:threadedComment ref="S31" dT="2025-07-31T13:18:38.00" personId="{8cadbcf0-d745-44de-b933-bd4ada8abb3a}" id="{88e8e304-9395-4054-b6c2-12691ac70512}" done="0">
    <x18tc:text xml:space="preserve">Adm Flordenis 4615492</x18tc:text>
  </x18tc:threadedComment>
  <x18tc:threadedComment ref="D6" dT="2025-07-07T11:28:54.00" personId="{8cadbcf0-d745-44de-b933-bd4ada8abb3a}" id="{87e39581-b5f1-43b6-8a86-810acf73d579}" done="0">
    <x18tc:text xml:space="preserve">Óbito Marcelo 4574398</x18tc:text>
  </x18tc:threadedComment>
  <x18tc:threadedComment ref="B20" dT="2025-07-18T11:05:31.00" personId="{8cadbcf0-d745-44de-b933-bd4ada8abb3a}" id="{f4749648-51b3-4850-abac-b6f3cf40ff7a}" done="0">
    <x18tc:text xml:space="preserve">Alta Regiane 4586965</x18tc:text>
  </x18tc:threadedComment>
  <x18tc:threadedComment ref="E33" dT="2025-08-04T11:04:49.00" personId="{8cadbcf0-d745-44de-b933-bd4ada8abb3a}" id="{1b505dfe-42c6-4fa7-b5e5-c282b99ee702}" done="0">
    <x18tc:text xml:space="preserve">Adm Joao 4614476</x18tc:text>
  </x18tc:threadedComment>
  <x18tc:threadedComment ref="O9" dT="2025-07-10T11:21:24.00" personId="{8cadbcf0-d745-44de-b933-bd4ada8abb3a}" id="{b6291444-62e8-43c2-919a-08d95f4af50d}" done="0">
    <x18tc:text xml:space="preserve">Adm Zelia 4597311</x18tc:text>
  </x18tc:threadedComment>
  <x18tc:threadedComment ref="N11" dT="2025-07-10T11:22:07.00" personId="{8cadbcf0-d745-44de-b933-bd4ada8abb3a}" id="{5454df4d-5a1f-4e6e-9997-2a01209ac014}" done="0">
    <x18tc:text xml:space="preserve">Óbito Zelia 4597311</x18tc:text>
  </x18tc:threadedComment>
  <x18tc:threadedComment ref="C14" dT="2025-07-14T12:37:15.00" personId="{8cadbcf0-d745-44de-b933-bd4ada8abb3a}" id="{163299ed-ee27-4247-9243-ffd3ae948951}" done="0">
    <x18tc:text xml:space="preserve">Adm Jacyra 4588340</x18tc:text>
  </x18tc:threadedComment>
  <x18tc:threadedComment ref="C10" dT="2025-07-10T11:53:07.00" personId="{8cadbcf0-d745-44de-b933-bd4ada8abb3a}" id="{15d658c9-10e4-4625-bd48-772568148a8b}" done="0">
    <x18tc:text xml:space="preserve">Adm Regiane 4586965
Adm Vicente 4598472</x18tc:text>
  </x18tc:threadedComment>
  <x18tc:threadedComment ref="C17" dT="2025-07-16T19:09:19.00" personId="{8cadbcf0-d745-44de-b933-bd4ada8abb3a}" id="{d1a3f864-8921-41a7-b5b3-92175f70feac}" done="0">
    <x18tc:text xml:space="preserve">Adm Cosmo 4600923</x18tc:text>
  </x18tc:threadedComment>
  <x18tc:threadedComment ref="G17" dT="2025-07-16T19:08:21.00" personId="{8cadbcf0-d745-44de-b933-bd4ada8abb3a}" id="{6afbf1f9-8cff-4c9b-8b55-c817c18db4d0}" done="0">
    <x18tc:text xml:space="preserve">Adm Luiz 4603460</x18tc:text>
  </x18tc:threadedComment>
  <x18tc:threadedComment ref="T4" dT="2025-07-02T11:10:54.00" personId="{8cadbcf0-d745-44de-b933-bd4ada8abb3a}" id="{95027948-9ec3-4a8f-93e4-ad4e0ec2f692}" done="0">
    <x18tc:text xml:space="preserve">Alta Janete 4577992</x18tc:text>
  </x18tc:threadedComment>
  <x18tc:threadedComment ref="E20" dT="2025-07-25T11:42:38.00" personId="{8cadbcf0-d745-44de-b933-bd4ada8abb3a}" id="{962d714c-0744-4a52-996f-836fb4e6ba77}" done="0">
    <x18tc:text xml:space="preserve">Adm Marli 4610181</x18tc:text>
  </x18tc:threadedComment>
  <x18tc:threadedComment ref="D27" dT="2025-07-25T11:43:01.00" personId="{8cadbcf0-d745-44de-b933-bd4ada8abb3a}" id="{0aa0c95a-fdc8-45b2-98f1-494de955e0bb}" done="0">
    <x18tc:text xml:space="preserve">Alta Marli 4610181</x18tc:text>
  </x18tc:threadedComment>
  <x18tc:threadedComment ref="B19" dT="2025-07-17T10:40:32.00" personId="{8cadbcf0-d745-44de-b933-bd4ada8abb3a}" id="{5fc9ebd1-0c2f-4a77-a4a2-924b4190784a}" done="0">
    <x18tc:text xml:space="preserve">Alta Cosmo 4600923</x18tc:text>
  </x18tc:threadedComment>
  <x18tc:threadedComment ref="B19" dT="2025-07-21T11:10:11.00" personId="{8cadbcf0-d745-44de-b933-bd4ada8abb3a}" id="{7e122787-0200-4586-98df-8548555088e2}" parentId="{5fc9ebd1-0c2f-4a77-a4a2-924b4190784a}">
    <x18tc:text xml:space="preserve">Alta Andressa 4607157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N10" dT="2025-08-11T11:31:44.00" personId="{8cadbcf0-d745-44de-b933-bd4ada8abb3a}" id="{5400120e-3d66-415a-b75a-7401868a343f}" done="0">
    <x18tc:text xml:space="preserve">Óbito Roberth 4600646</x18tc:text>
  </x18tc:threadedComment>
  <x18tc:threadedComment ref="B12" dT="2025-08-11T11:22:37.00" personId="{8cadbcf0-d745-44de-b933-bd4ada8abb3a}" id="{7bbb9522-4acd-4450-8484-45b7da256678}" done="0">
    <x18tc:text xml:space="preserve">Alta Willian 4615565</x18tc:text>
  </x18tc:threadedComment>
  <x18tc:threadedComment ref="F29" dT="2025-08-27T17:30:05.00" personId="{8cadbcf0-d745-44de-b933-bd4ada8abb3a}" id="{0f37ad07-3144-4d43-8525-24141a9e1385}" done="0">
    <x18tc:text xml:space="preserve">Óbito Carmen 4635612
Óbito Edineia 4623791</x18tc:text>
  </x18tc:threadedComment>
  <x18tc:threadedComment ref="G28" dT="2025-08-27T17:29:47.00" personId="{8cadbcf0-d745-44de-b933-bd4ada8abb3a}" id="{4257a098-0ac2-4613-8c9e-b9e5d3602a0f}" done="0">
    <x18tc:text xml:space="preserve">Carmen 4635612</x18tc:text>
  </x18tc:threadedComment>
  <x18tc:threadedComment ref="R10" dT="2025-08-08T12:55:36.00" personId="{8cadbcf0-d745-44de-b933-bd4ada8abb3a}" id="{b12cb65a-094e-4fc3-815d-ccbd7b5a7dea}" done="0">
    <x18tc:text xml:space="preserve">Transferido da UTI B Luiz 4603460</x18tc:text>
  </x18tc:threadedComment>
  <x18tc:threadedComment ref="F10" dT="2025-08-08T12:56:15.00" personId="{8cadbcf0-d745-44de-b933-bd4ada8abb3a}" id="{3979993d-f1ea-4dc0-8ddf-3e4ac9483420}" done="0">
    <x18tc:text xml:space="preserve">Transferido para UTI C Luiz 4603460</x18tc:text>
  </x18tc:threadedComment>
  <x18tc:threadedComment ref="D22" dT="2025-08-19T18:55:26.00" personId="{8cadbcf0-d745-44de-b933-bd4ada8abb3a}" id="{dc9cf24a-587a-482b-881e-e0cab330b710}" done="0">
    <x18tc:text xml:space="preserve">Alta Paulo 4621184</x18tc:text>
  </x18tc:threadedComment>
  <x18tc:threadedComment ref="B21" dT="2025-08-19T18:54:08.00" personId="{8cadbcf0-d745-44de-b933-bd4ada8abb3a}" id="{e3a58d26-fe3c-4993-abcb-14607ab0efdd}" done="0">
    <x18tc:text xml:space="preserve">Óbito João 4623375</x18tc:text>
  </x18tc:threadedComment>
  <x18tc:threadedComment ref="Q26" dT="2025-08-28T18:51:23.00" personId="{8cadbcf0-d745-44de-b933-bd4ada8abb3a}" id="{cb6dffec-fb30-439c-8f5f-ebde86f7067e}" done="0">
    <x18tc:text xml:space="preserve">Jose 4622310</x18tc:text>
  </x18tc:threadedComment>
  <x18tc:threadedComment ref="E5" dT="2025-08-06T16:50:49.00" personId="{8cadbcf0-d745-44de-b933-bd4ada8abb3a}" id="{df65333f-7e41-4375-8608-3468170ff972}" done="0">
    <x18tc:text xml:space="preserve">Adm Rosana 4623641</x18tc:text>
  </x18tc:threadedComment>
  <x18tc:threadedComment ref="C6" dT="2025-08-06T16:43:03.00" personId="{8cadbcf0-d745-44de-b933-bd4ada8abb3a}" id="{8229221d-b2e6-432c-a228-02bad998e1c3}" done="0">
    <x18tc:text xml:space="preserve">Adm João 4623375</x18tc:text>
  </x18tc:threadedComment>
  <x18tc:threadedComment ref="G20" dT="2025-08-29T15:36:31.00" personId="{8cadbcf0-d745-44de-b933-bd4ada8abb3a}" id="{0e5db37e-08de-4c2c-895e-caa9f9b2c606}" done="0">
    <x18tc:text xml:space="preserve">Alex 4627801</x18tc:text>
  </x18tc:threadedComment>
  <x18tc:threadedComment ref="R9" dT="2025-08-07T11:46:30.00" personId="{8cadbcf0-d745-44de-b933-bd4ada8abb3a}" id="{b224f404-d08d-4460-bb97-2775f5d938fa}" done="0">
    <x18tc:text xml:space="preserve">Óbito Flordenis 4615492</x18tc:text>
  </x18tc:threadedComment>
  <x18tc:threadedComment ref="G32" dT="2025-08-29T16:07:19.00" personId="{8cadbcf0-d745-44de-b933-bd4ada8abb3a}" id="{f30baa9b-fba2-4b90-9a16-2133aa1036e4}" done="0">
    <x18tc:text xml:space="preserve">Sebastião 4646512</x18tc:text>
  </x18tc:threadedComment>
  <x18tc:threadedComment ref="F21" dT="2025-08-29T15:37:57.00" personId="{8cadbcf0-d745-44de-b933-bd4ada8abb3a}" id="{ebb4a66e-11ef-4911-ad7f-f41e71583e28}" done="0">
    <x18tc:text xml:space="preserve">Alta Alex 4627801</x18tc:text>
  </x18tc:threadedComment>
  <x18tc:threadedComment ref="R30" dT="2025-08-29T15:40:50.00" personId="{8cadbcf0-d745-44de-b933-bd4ada8abb3a}" id="{5404680b-7b2d-4b87-95e0-6e3f5bf685aa}" done="0">
    <x18tc:text xml:space="preserve">Adm e óbito no mesmo dia - Alex 4627801</x18tc:text>
  </x18tc:threadedComment>
  <x18tc:threadedComment ref="N9" dT="2025-08-07T11:46:17.00" personId="{8cadbcf0-d745-44de-b933-bd4ada8abb3a}" id="{57085359-d5c0-4ae9-9370-8190f5c01d69}" done="0">
    <x18tc:text xml:space="preserve">Óbito Flordenis 4615492</x18tc:text>
  </x18tc:threadedComment>
  <x18tc:threadedComment ref="S6" dT="2025-08-12T13:02:44.00" personId="{8cadbcf0-d745-44de-b933-bd4ada8abb3a}" id="{ad6a4148-b6eb-4612-9a40-38611a5b2509}" done="0">
    <x18tc:text xml:space="preserve">Adm Irineu 4617907</x18tc:text>
  </x18tc:threadedComment>
  <x18tc:threadedComment ref="R14" dT="2025-08-12T13:04:38.00" personId="{8cadbcf0-d745-44de-b933-bd4ada8abb3a}" id="{6d3cd0c0-7fba-46dd-9575-e289283b77b9}" done="0">
    <x18tc:text xml:space="preserve">Alta Irineu 4617907
Óbito Jose 4605893</x18tc:text>
  </x18tc:threadedComment>
  <x18tc:threadedComment ref="P14" dT="2025-08-12T12:44:57.00" personId="{8cadbcf0-d745-44de-b933-bd4ada8abb3a}" id="{27025fbc-4229-4441-87ef-8139daf68d9c}" done="0">
    <x18tc:text xml:space="preserve">Óbito Jose 4605893</x18tc:text>
  </x18tc:threadedComment>
  <x18tc:threadedComment ref="F30" dT="2025-08-28T12:16:25.00" personId="{8cadbcf0-d745-44de-b933-bd4ada8abb3a}" id="{5ec3c430-c85b-4fcf-98b0-46b0ade1a6fb}" done="0">
    <x18tc:text xml:space="preserve">Alex 4627801 Admissão e óbito no mesmo dia</x18tc:text>
  </x18tc:threadedComment>
  <x18tc:threadedComment ref="D5" dT="2025-08-04T11:11:59.00" personId="{8cadbcf0-d745-44de-b933-bd4ada8abb3a}" id="{cf877e06-5fc0-4e14-89dc-fbc9a3fc5e4f}" done="0">
    <x18tc:text xml:space="preserve">Óbito João 4614476</x18tc:text>
  </x18tc:threadedComment>
  <x18tc:threadedComment ref="B5" dT="2025-08-04T11:14:18.00" personId="{8cadbcf0-d745-44de-b933-bd4ada8abb3a}" id="{04e9bb72-b9fe-4e28-97b2-3950a3a9c783}" done="0">
    <x18tc:text xml:space="preserve">Óbito Caio 4604083</x18tc:text>
  </x18tc:threadedComment>
  <x18tc:threadedComment ref="N6" dT="2025-08-04T11:29:59.00" personId="{8cadbcf0-d745-44de-b933-bd4ada8abb3a}" id="{ff653597-cb01-4098-b180-8531e895886d}" done="0">
    <x18tc:text xml:space="preserve">Alta Gilberto 4609807</x18tc:text>
  </x18tc:threadedComment>
  <x18tc:threadedComment ref="N14" dT="2025-08-12T13:00:30.00" personId="{8cadbcf0-d745-44de-b933-bd4ada8abb3a}" id="{52b32df2-add3-41ad-9c65-364965a8f3c1}" done="0">
    <x18tc:text xml:space="preserve">Alta Irineu 4617907</x18tc:text>
  </x18tc:threadedComment>
  <x18tc:threadedComment ref="C29" dT="2025-08-28T18:46:02.00" personId="{8cadbcf0-d745-44de-b933-bd4ada8abb3a}" id="{f89a3cd4-8391-48a2-839b-0a3e82ee8b1d}" done="0">
    <x18tc:text xml:space="preserve">ADM Anderson 4611911
ADM Andre 4630528</x18tc:text>
  </x18tc:threadedComment>
  <x18tc:threadedComment ref="E20" dT="2025-08-28T18:38:11.00" personId="{8cadbcf0-d745-44de-b933-bd4ada8abb3a}" id="{78d4a728-8f8b-4c0c-9c5c-b231de319416}" done="0">
    <x18tc:text xml:space="preserve">Edineia 4623791</x18tc:text>
  </x18tc:threadedComment>
  <x18tc:threadedComment ref="G27" dT="2025-08-28T18:42:05.00" personId="{8cadbcf0-d745-44de-b933-bd4ada8abb3a}" id="{69fedd41-6280-4bac-bef7-daafb5e5b011}" done="0">
    <x18tc:text xml:space="preserve">Edineia 4623791</x18tc:text>
  </x18tc:threadedComment>
  <x18tc:threadedComment ref="S13" dT="2025-08-13T17:02:49.00" personId="{8cadbcf0-d745-44de-b933-bd4ada8abb3a}" id="{6ab4af95-ae26-49b1-841a-6506112774f6}" done="0">
    <x18tc:text xml:space="preserve">Vanderley 4623722
Jose 4605893
Jose 4622310</x18tc:text>
  </x18tc:threadedComment>
  <x18tc:threadedComment ref="D29" dT="2025-08-26T15:33:56.00" personId="{8cadbcf0-d745-44de-b933-bd4ada8abb3a}" id="{f7689aea-7771-4154-b358-73b3eeabfce6}" done="0">
    <x18tc:text xml:space="preserve">Óbito Edineia 4623791
Óbito Vilma 4607420</x18tc:text>
  </x18tc:threadedComment>
  <x18tc:threadedComment ref="B25" dT="2025-08-26T15:27:30.00" personId="{8cadbcf0-d745-44de-b933-bd4ada8abb3a}" id="{e7a373cf-2996-40cb-b02c-47d753b4b777}" done="0">
    <x18tc:text xml:space="preserve">Óbito Cecilia 4621316</x18tc:text>
  </x18tc:threadedComment>
  <x18tc:threadedComment ref="C24" dT="2025-08-26T15:27:09.00" personId="{8cadbcf0-d745-44de-b933-bd4ada8abb3a}" id="{9e289ca2-a73b-4920-a3b9-319ea40b1d18}" done="0">
    <x18tc:text xml:space="preserve">ADM Cecilia 4621316</x18tc:text>
  </x18tc:threadedComment>
  <x18tc:threadedComment ref="B30" dT="2025-08-28T18:53:54.00" personId="{8cadbcf0-d745-44de-b933-bd4ada8abb3a}" id="{7b4299ff-b122-477c-a976-64a1a7595c53}" done="0">
    <x18tc:text xml:space="preserve">Alta Andre 4630528</x18tc:text>
  </x18tc:threadedComment>
  <x18tc:threadedComment ref="Q21" dT="2025-08-20T18:59:24.00" personId="{8cadbcf0-d745-44de-b933-bd4ada8abb3a}" id="{4f83ad86-884a-41f6-a7d6-69d71bb4e7fa}" done="0">
    <x18tc:text xml:space="preserve">Arany 4627695
Transferência Uti A - Paulo 4621184</x18tc:text>
  </x18tc:threadedComment>
  <x18tc:threadedComment ref="D21" dT="2025-08-20T18:23:36.00" personId="{8cadbcf0-d745-44de-b933-bd4ada8abb3a}" id="{162984fb-9b62-41dc-973d-a7e1f4400e09}" done="0">
    <x18tc:text xml:space="preserve">Transferido para UTI C - Paulo 4621184</x18tc:text>
  </x18tc:threadedComment>
  <x18tc:threadedComment ref="P22" dT="2025-08-20T18:25:23.00" personId="{8cadbcf0-d745-44de-b933-bd4ada8abb3a}" id="{a7913253-9a12-40e5-8851-fe58e7eab07e}" done="0">
    <x18tc:text xml:space="preserve">Alta Paulo 4621184</x18tc:text>
  </x18tc:threadedComment>
  <x18tc:threadedComment ref="C21" dT="2025-08-20T18:19:15.00" personId="{8cadbcf0-d745-44de-b933-bd4ada8abb3a}" id="{7e80f4da-e577-413e-96bd-afd396c5fb91}" done="0">
    <x18tc:text xml:space="preserve">Maria 4635446</x18tc:text>
  </x18tc:threadedComment>
  <x18tc:threadedComment ref="O20" dT="2025-08-20T18:50:36.00" personId="{8cadbcf0-d745-44de-b933-bd4ada8abb3a}" id="{50c1c4b6-cfb4-4a66-81c7-80149b29c3c2}" done="0">
    <x18tc:text xml:space="preserve">Vanderley 4623722</x18tc:text>
  </x18tc:threadedComment>
  <x18tc:threadedComment ref="S21" dT="2025-08-20T18:53:29.00" personId="{8cadbcf0-d745-44de-b933-bd4ada8abb3a}" id="{2e872d94-4356-40f1-8773-cd0048d64ea0}" done="0">
    <x18tc:text xml:space="preserve">Tiago 4635796
Arany 4627695</x18tc:text>
  </x18tc:threadedComment>
  <x18tc:threadedComment ref="Q8" dT="2025-08-07T16:01:56.00" personId="{8cadbcf0-d745-44de-b933-bd4ada8abb3a}" id="{e1009cee-9b37-454f-a021-39363e14cb30}" done="0">
    <x18tc:text xml:space="preserve">Adm Jose 4605893</x18tc:text>
  </x18tc:threadedComment>
  <x18tc:threadedComment ref="B22" dT="2025-08-20T18:19:51.00" personId="{8cadbcf0-d745-44de-b933-bd4ada8abb3a}" id="{98c35cda-be6c-46da-9ea7-4da907d12a15}" done="0">
    <x18tc:text xml:space="preserve">Alta Maria 4635446</x18tc:text>
  </x18tc:threadedComment>
  <x18tc:threadedComment ref="E28" dT="2025-08-27T17:37:12.00" personId="{8cadbcf0-d745-44de-b933-bd4ada8abb3a}" id="{cf7d2cd2-a34f-49cc-92a0-692b0a61d6de}" done="0">
    <x18tc:text xml:space="preserve">Vilma 4607420</x18tc:text>
  </x18tc:threadedComment>
  <x18tc:threadedComment ref="Q16" dT="2025-08-15T14:14:01.00" personId="{8cadbcf0-d745-44de-b933-bd4ada8abb3a}" id="{ac0b99b3-ba0c-488a-8bc3-93c29ce03635}" done="0">
    <x18tc:text xml:space="preserve">Adm Pedro 4614673</x18tc:text>
  </x18tc:threadedComment>
  <x18tc:threadedComment ref="B28" dT="2025-08-25T18:28:01.00" personId="{8cadbcf0-d745-44de-b933-bd4ada8abb3a}" id="{5195f150-cdd6-4bf8-a84f-bd3cac9c80ba}" done="0">
    <x18tc:text xml:space="preserve">Óbito Maria 4642672</x18tc:text>
  </x18tc:threadedComment>
  <x18tc:threadedComment ref="R16" dT="2025-08-15T14:25:54.00" personId="{8cadbcf0-d745-44de-b933-bd4ada8abb3a}" id="{a7f9cdf5-bb08-4e3d-9c44-91c3ab0e74d0}" done="0">
    <x18tc:text xml:space="preserve">Alta  Luiz 4603460</x18tc:text>
  </x18tc:threadedComment>
  <x18tc:threadedComment ref="P17" dT="2025-08-15T14:15:05.00" personId="{8cadbcf0-d745-44de-b933-bd4ada8abb3a}" id="{170ff570-c0ac-4b4a-acf0-3f933f857cd8}" done="0">
    <x18tc:text xml:space="preserve">Óbito Pedro 4614673</x18tc:text>
  </x18tc:threadedComment>
  <x18tc:threadedComment ref="C25" dT="2025-08-25T18:27:38.00" personId="{8cadbcf0-d745-44de-b933-bd4ada8abb3a}" id="{58b48630-23de-4249-80a1-277959f953ce}" done="0">
    <x18tc:text xml:space="preserve">ADM Maria 4642672</x18tc:text>
  </x18tc:threadedComment>
  <x18tc:threadedComment ref="C14" dT="2025-08-14T17:48:44.00" personId="{8cadbcf0-d745-44de-b933-bd4ada8abb3a}" id="{99dd2965-9355-4a5e-b795-1e49594cf575}" done="0">
    <x18tc:text xml:space="preserve">Rosana 4623641</x18tc:text>
  </x18tc:threadedComment>
  <x18tc:threadedComment ref="E14" dT="2025-08-14T17:47:58.00" personId="{8cadbcf0-d745-44de-b933-bd4ada8abb3a}" id="{c5f8a0d2-37ea-43be-85f4-1aa7398d40b4}" done="0">
    <x18tc:text xml:space="preserve">Paulo 4621184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Q25" dT="2025-09-25T11:57:03.00" personId="{8cadbcf0-d745-44de-b933-bd4ada8abb3a}" id="{cd2adfa4-6c4f-4be4-a219-6838a9d7689d}" done="0">
    <x18tc:text xml:space="preserve">Sonia 4661025</x18tc:text>
  </x18tc:threadedComment>
  <x18tc:threadedComment ref="P4" dT="2025-09-01T19:00:41.00" personId="{8cadbcf0-d745-44de-b933-bd4ada8abb3a}" id="{083b5d22-c57e-4b26-a678-ce0ebe0a859d}" done="0">
    <x18tc:text xml:space="preserve">Óbito Arany 4627695</x18tc:text>
  </x18tc:threadedComment>
  <x18tc:threadedComment ref="P32" dT="2025-09-30T11:51:57.00" personId="{8cadbcf0-d745-44de-b933-bd4ada8abb3a}" id="{54824006-926c-4fc5-a479-4b015212e0ae}" done="0">
    <x18tc:text xml:space="preserve">Alta Eliel 4651113</x18tc:text>
  </x18tc:threadedComment>
  <x18tc:threadedComment ref="F25" dT="2025-09-25T11:24:27.00" personId="{8cadbcf0-d745-44de-b933-bd4ada8abb3a}" id="{1c65b482-0585-4a67-9907-ebd05cac20dc}" done="0">
    <x18tc:text xml:space="preserve">Alta Antonio 4664565</x18tc:text>
  </x18tc:threadedComment>
  <x18tc:threadedComment ref="G24" dT="2025-09-25T11:22:22.00" personId="{8cadbcf0-d745-44de-b933-bd4ada8abb3a}" id="{9334b841-d814-4922-9a83-04c73533c4b1}" done="0">
    <x18tc:text xml:space="preserve">Adm Antonio 4664565</x18tc:text>
  </x18tc:threadedComment>
  <x18tc:threadedComment ref="Q24" dT="2025-09-25T11:45:25.00" personId="{8cadbcf0-d745-44de-b933-bd4ada8abb3a}" id="{aa976c0a-7957-4125-bcff-fb2f0f99a53e}" done="0">
    <x18tc:text xml:space="preserve">Adm Yan 4656583</x18tc:text>
  </x18tc:threadedComment>
  <x18tc:threadedComment ref="R4" dT="2025-09-01T19:01:09.00" personId="{8cadbcf0-d745-44de-b933-bd4ada8abb3a}" id="{04b42f12-8712-48d2-90ef-1c43a0dca998}" done="0">
    <x18tc:text xml:space="preserve">Óbito Arany 4627695</x18tc:text>
  </x18tc:threadedComment>
  <x18tc:threadedComment ref="P19" dT="2025-09-16T17:10:04.00" personId="{8cadbcf0-d745-44de-b933-bd4ada8abb3a}" id="{87b6d450-eeff-4ecd-a560-071e329419c2}" done="0">
    <x18tc:text xml:space="preserve">Alta Jose 4622310</x18tc:text>
  </x18tc:threadedComment>
  <x18tc:threadedComment ref="C27" dT="2025-09-29T13:52:16.00" personId="{8cadbcf0-d745-44de-b933-bd4ada8abb3a}" id="{8e3c3058-1f76-4673-b8b8-07d9d0b02ad0}" done="0">
    <x18tc:text xml:space="preserve">Marisandra 4668619</x18tc:text>
  </x18tc:threadedComment>
  <x18tc:threadedComment ref="E26" dT="2025-09-29T13:50:00.00" personId="{8cadbcf0-d745-44de-b933-bd4ada8abb3a}" id="{1f54acec-e960-448f-80a9-b8b24e8fbc1f}" done="0">
    <x18tc:text xml:space="preserve">Fatima 4662295</x18tc:text>
  </x18tc:threadedComment>
  <x18tc:threadedComment ref="B29" dT="2025-09-29T13:27:23.00" personId="{8cadbcf0-d745-44de-b933-bd4ada8abb3a}" id="{45deb5d0-6b5d-4131-affc-ee44ea956a8c}" done="0">
    <x18tc:text xml:space="preserve">Óbito Luiz 4664877
Alta Maria 4668546</x18tc:text>
  </x18tc:threadedComment>
  <x18tc:threadedComment ref="C25" dT="2025-09-29T13:26:45.00" personId="{8cadbcf0-d745-44de-b933-bd4ada8abb3a}" id="{373a2775-8e02-4888-8c1a-21f001afc4da}" done="0">
    <x18tc:text xml:space="preserve">Luiz 4664877
Marcelo 4658148</x18tc:text>
  </x18tc:threadedComment>
  <x18tc:threadedComment ref="E32" dT="2025-10-02T17:13:59.00" personId="{8cadbcf0-d745-44de-b933-bd4ada8abb3a}" id="{543494b2-7062-4cee-950e-7d40d9b23c00}" done="0">
    <x18tc:text xml:space="preserve">Adm Rodrigo 4675784</x18tc:text>
  </x18tc:threadedComment>
  <x18tc:threadedComment ref="Q31" dT="2025-10-02T17:10:26.00" personId="{8cadbcf0-d745-44de-b933-bd4ada8abb3a}" id="{8e032c76-f43b-4712-b50e-03c9d61671fd}" done="0">
    <x18tc:text xml:space="preserve">Adm Yara 4673913</x18tc:text>
  </x18tc:threadedComment>
  <x18tc:threadedComment ref="B4" dT="2025-09-02T13:49:06.00" personId="{8cadbcf0-d745-44de-b933-bd4ada8abb3a}" id="{27984555-30c5-4304-9e5d-854f22072509}" done="0">
    <x18tc:text xml:space="preserve">Alta Anderson 4611911</x18tc:text>
  </x18tc:threadedComment>
  <x18tc:threadedComment ref="C20" dT="2025-09-19T16:22:22.00" personId="{8cadbcf0-d745-44de-b933-bd4ada8abb3a}" id="{0b299d72-0798-4b95-8a6c-b3ae1b5bab85}" done="0">
    <x18tc:text xml:space="preserve">Admissão Maria 4668546
Adm Luiz 4664942</x18tc:text>
  </x18tc:threadedComment>
  <x18tc:threadedComment ref="B28" dT="2025-10-01T13:12:33.00" personId="{8cadbcf0-d745-44de-b933-bd4ada8abb3a}" id="{8fe65187-69de-436d-ba72-a0ce2f513057}" done="0">
    <x18tc:text xml:space="preserve">óbito Marisandra 4668619</x18tc:text>
  </x18tc:threadedComment>
  <x18tc:threadedComment ref="B8" dT="2025-09-08T16:23:01.00" personId="{8cadbcf0-d745-44de-b933-bd4ada8abb3a}" id="{09f0c76c-33bc-4151-8c14-e90e022acdb1}" done="0">
    <x18tc:text xml:space="preserve">Óbito - Vanderley 4623722</x18tc:text>
  </x18tc:threadedComment>
  <x18tc:threadedComment ref="R25" dT="2025-09-24T11:17:04.00" personId="{8cadbcf0-d745-44de-b933-bd4ada8abb3a}" id="{8694f621-837d-4bd5-86d2-821fe471cf82}" done="0">
    <x18tc:text xml:space="preserve">Alta Tiago 4635796</x18tc:text>
  </x18tc:threadedComment>
  <x18tc:threadedComment ref="B24" dT="2025-09-24T11:23:53.00" personId="{8cadbcf0-d745-44de-b933-bd4ada8abb3a}" id="{b00c1114-b185-4738-afd8-4c1bfc43393e}" done="0">
    <x18tc:text xml:space="preserve">Óbito Luiz 4664942</x18tc:text>
  </x18tc:threadedComment>
  <x18tc:threadedComment ref="F8" dT="2025-09-08T16:23:41.00" personId="{8cadbcf0-d745-44de-b933-bd4ada8abb3a}" id="{41585293-dc25-4f24-85b6-3f5bf6119a37}" done="0">
    <x18tc:text xml:space="preserve">Óbito - Vanderley 4623722</x18tc:text>
  </x18tc:threadedComment>
  <x18tc:threadedComment ref="R23" dT="2025-09-24T11:26:23.00" personId="{8cadbcf0-d745-44de-b933-bd4ada8abb3a}" id="{bc92161d-5a96-4e34-a199-124161f5ccc8}" done="0">
    <x18tc:text xml:space="preserve">Alta Carlos 4668618</x18tc:text>
  </x18tc:threadedComment>
  <x18tc:threadedComment ref="F5" dT="2025-09-02T18:56:23.00" personId="{8cadbcf0-d745-44de-b933-bd4ada8abb3a}" id="{ca9d4d5b-46fe-4316-b7eb-ba950f867d6a}" done="0">
    <x18tc:text xml:space="preserve">Alta João 4645583
Alta Sebastiao 4646512</x18tc:text>
  </x18tc:threadedComment>
  <x18tc:threadedComment ref="B7" dT="2025-09-05T18:22:11.00" personId="{8cadbcf0-d745-44de-b933-bd4ada8abb3a}" id="{6e308115-6037-4d10-9bd7-8c2b331516b0}" done="0">
    <x18tc:text xml:space="preserve">Alta Hugo 4632958
Readmissão - Vanderley 4623722</x18tc:text>
  </x18tc:threadedComment>
  <x18tc:threadedComment ref="F7" dT="2025-09-08T15:32:40.00" personId="{8cadbcf0-d745-44de-b933-bd4ada8abb3a}" id="{cbfa8761-e371-4707-bb13-7648d75bf842}" done="0">
    <x18tc:text xml:space="preserve">Readmissão - Vanderley 4623722</x18tc:text>
  </x18tc:threadedComment>
  <x18tc:threadedComment ref="C5" dT="2025-09-05T18:21:57.00" personId="{8cadbcf0-d745-44de-b933-bd4ada8abb3a}" id="{2b4c20f4-fa50-419c-bb05-c8757a09ba0d}" done="0">
    <x18tc:text xml:space="preserve">Admissão Hugo 4632958</x18tc:text>
  </x18tc:threadedComment>
  <x18tc:threadedComment ref="N5" dT="2025-09-02T19:03:14.00" personId="{8cadbcf0-d745-44de-b933-bd4ada8abb3a}" id="{0ae7b45c-fc58-43d8-bbbb-d4a91f2628d9}" done="0">
    <x18tc:text xml:space="preserve">Alta Vanderley 4623722</x18tc:text>
  </x18tc:threadedComment>
  <x18tc:threadedComment ref="R5" dT="2025-09-02T19:03:01.00" personId="{8cadbcf0-d745-44de-b933-bd4ada8abb3a}" id="{99aeb59f-8902-4fdd-ad8b-496a2e3d68e2}" done="0">
    <x18tc:text xml:space="preserve">Alta Vanderley 4623722</x18tc:text>
  </x18tc:threadedComment>
  <x18tc:threadedComment ref="R19" dT="2025-09-16T17:10:12.00" personId="{8cadbcf0-d745-44de-b933-bd4ada8abb3a}" id="{52387e5d-75c4-44c4-9226-278d8c7d1eb0}" done="0">
    <x18tc:text xml:space="preserve">Alta Jose 4622310</x18tc:text>
  </x18tc:threadedComment>
  <x18tc:threadedComment ref="D5" dT="2025-09-02T16:44:44.00" personId="{8cadbcf0-d745-44de-b933-bd4ada8abb3a}" id="{35ea2b5a-66c4-4420-86b3-a16159703b05}" done="0">
    <x18tc:text xml:space="preserve">Alta Rosana 4623641</x18tc:text>
  </x18tc:threadedComment>
  <x18tc:threadedComment ref="B5" dT="2025-09-02T16:44:33.00" personId="{8cadbcf0-d745-44de-b933-bd4ada8abb3a}" id="{76622685-0e43-4a8b-904d-1c41c1c82da3}" done="0">
    <x18tc:text xml:space="preserve">Alta Rosana 4623641</x18tc:text>
  </x18tc:threadedComment>
  <x18tc:threadedComment ref="O6" dT="2025-09-05T18:26:32.00" personId="{8cadbcf0-d745-44de-b933-bd4ada8abb3a}" id="{96fa48e8-80cf-4f9f-90d7-9628b37e9222}" done="0">
    <x18tc:text xml:space="preserve">Admissão e transf. p/ UTI B no mesmo dia -  Joseane 4654512
Admissão e óbito no mesmo dia - Jose 4652502</x18tc:text>
  </x18tc:threadedComment>
  <x18tc:threadedComment ref="E18" dT="2025-09-17T19:06:21.00" personId="{8cadbcf0-d745-44de-b933-bd4ada8abb3a}" id="{f9436be2-1cc5-4497-b06a-04f6c0ba2f7a}" done="0">
    <x18tc:text xml:space="preserve">Sebastião 4661938
Positivou e óbito no mesmo dia  Joseane 4654512</x18tc:text>
  </x18tc:threadedComment>
  <x18tc:threadedComment ref="C18" dT="2025-09-17T19:03:11.00" personId="{8cadbcf0-d745-44de-b933-bd4ada8abb3a}" id="{505bbf31-e8a5-4ade-ac19-ba9943a46789}" done="0">
    <x18tc:text xml:space="preserve">Helena 4662270</x18tc:text>
  </x18tc:threadedComment>
  <x18tc:threadedComment ref="O33" dT="2025-10-07T12:07:40.00" personId="{8cadbcf0-d745-44de-b933-bd4ada8abb3a}" id="{fc793e0b-3de5-4a24-ae70-0ac5900a4f3a}" done="0">
    <x18tc:text xml:space="preserve">ADM Rogério 4677716</x18tc:text>
  </x18tc:threadedComment>
  <x18tc:threadedComment ref="Q18" dT="2025-09-17T18:58:20.00" personId="{8cadbcf0-d745-44de-b933-bd4ada8abb3a}" id="{0e421dce-c310-4dce-ba67-04d88a0506cf}" done="0">
    <x18tc:text xml:space="preserve">Sonia 4640871</x18tc:text>
  </x18tc:threadedComment>
  <x18tc:threadedComment ref="G18" dT="2025-09-17T19:00:21.00" personId="{8cadbcf0-d745-44de-b933-bd4ada8abb3a}" id="{7d000e3c-bfa9-4148-84d1-18201efb419a}" done="0">
    <x18tc:text xml:space="preserve">Vitoria 4664590</x18tc:text>
  </x18tc:threadedComment>
  <x18tc:threadedComment ref="S18" dT="2025-09-17T18:58:24.00" personId="{8cadbcf0-d745-44de-b933-bd4ada8abb3a}" id="{e43b1ac7-2ee7-4b10-9889-4fec8ac87903}" done="0">
    <x18tc:text xml:space="preserve">Sonia 4640871</x18tc:text>
  </x18tc:threadedComment>
  <x18tc:threadedComment ref="B14" dT="2025-09-12T11:15:20.00" personId="{8cadbcf0-d745-44de-b933-bd4ada8abb3a}" id="{2a76d400-106b-4d63-917d-213332ba8fbe}" done="0">
    <x18tc:text xml:space="preserve">Alta Jose 4643977</x18tc:text>
  </x18tc:threadedComment>
  <x18tc:threadedComment ref="F4" dT="2025-09-02T13:53:33.00" personId="{8cadbcf0-d745-44de-b933-bd4ada8abb3a}" id="{9ce26b66-56a9-4f29-86e5-7aae685735e4}" done="0">
    <x18tc:text xml:space="preserve">João 4645583 (reinternação)</x18tc:text>
  </x18tc:threadedComment>
  <x18tc:threadedComment ref="C6" dT="2025-10-13T17:05:11.00" personId="{8cadbcf0-d745-44de-b933-bd4ada8abb3a}" id="{3991cad7-85e2-4bd9-b07b-6601a01c0920}" done="0">
    <x18tc:text xml:space="preserve">Transf. da UTI C - Joseane 4654512</x18tc:text>
  </x18tc:threadedComment>
  <x18tc:threadedComment ref="D23" dT="2025-09-22T12:14:55.00" personId="{8cadbcf0-d745-44de-b933-bd4ada8abb3a}" id="{0e64431c-459c-49df-9e5e-b61fcf47a4f5}" done="0">
    <x18tc:text xml:space="preserve">Alta Sebastião 4661938</x18tc:text>
  </x18tc:threadedComment>
  <x18tc:threadedComment ref="S21" dT="2025-09-22T12:29:57.00" personId="{8cadbcf0-d745-44de-b933-bd4ada8abb3a}" id="{7b4fe9a5-2bbc-4353-b49e-d48bfcc1461e}" done="0">
    <x18tc:text xml:space="preserve">Adm Carlos 4668618</x18tc:text>
  </x18tc:threadedComment>
  <x18tc:threadedComment ref="N6" dT="2025-09-03T17:57:47.00" personId="{8cadbcf0-d745-44de-b933-bd4ada8abb3a}" id="{f458e2c9-16e9-4ec6-a544-d259650d6893}" done="0">
    <x18tc:text xml:space="preserve">Joseane 4654512 (Reinternação)</x18tc:text>
  </x18tc:threadedComment>
  <x18tc:threadedComment ref="C11" dT="2025-09-10T17:37:21.00" personId="{8cadbcf0-d745-44de-b933-bd4ada8abb3a}" id="{35c4db03-c3d7-46ff-ba60-8df3c7b7fc55}" done="0">
    <x18tc:text xml:space="preserve">Claudia 4655480
Jose 4643977</x18tc:text>
  </x18tc:threadedComment>
  <x18tc:threadedComment ref="Q10" dT="2025-09-10T17:35:56.00" personId="{8cadbcf0-d745-44de-b933-bd4ada8abb3a}" id="{444e4cc7-49e8-47d0-8391-3500c77cd23c}" done="0">
    <x18tc:text xml:space="preserve">Claudio 4643751</x18tc:text>
  </x18tc:threadedComment>
  <x18tc:threadedComment ref="C4" dT="2025-09-03T17:45:55.00" personId="{8cadbcf0-d745-44de-b933-bd4ada8abb3a}" id="{7351e83e-a2d6-492d-b34d-b53a54472779}" done="0">
    <x18tc:text xml:space="preserve">Benedita 4645501 (positivou e teve alta no mesmo dia)</x18tc:text>
  </x18tc:threadedComment>
  <x18tc:threadedComment ref="E4" dT="2025-09-03T17:42:54.00" personId="{8cadbcf0-d745-44de-b933-bd4ada8abb3a}" id="{9586b922-8c6b-4d52-8121-5aa20d6a6f4f}" done="0">
    <x18tc:text xml:space="preserve">Daniel 4644184
Gabriel 4633206</x18tc:text>
  </x18tc:threadedComment>
  <x18tc:threadedComment ref="F20" dT="2025-09-18T10:48:05.00" personId="{8cadbcf0-d745-44de-b933-bd4ada8abb3a}" id="{8cc23ce8-9c4e-4f46-9d34-ac485ab07d3a}" done="0">
    <x18tc:text xml:space="preserve">Alta Vitoria 4664590</x18tc:text>
  </x18tc:threadedComment>
  <x18tc:threadedComment ref="AA9" dT="2025-09-09T18:50:16.00" personId="{8cadbcf0-d745-44de-b933-bd4ada8abb3a}" id="{86b73609-dace-4ef6-ac5d-d264e1b58ed4}" done="0">
    <x18tc:text xml:space="preserve">Pedro 4656734</x18tc:text>
  </x18tc:threadedComment>
  <x18tc:threadedComment ref="Z11" dT="2025-09-09T18:50:43.00" personId="{8cadbcf0-d745-44de-b933-bd4ada8abb3a}" id="{cf32e7d1-308c-4769-b7a4-646036786389}" done="0">
    <x18tc:text xml:space="preserve">Alta Pedro 4656734</x18tc:text>
  </x18tc:threadedComment>
  <x18tc:threadedComment ref="D20" dT="2025-09-18T10:46:28.00" personId="{8cadbcf0-d745-44de-b933-bd4ada8abb3a}" id="{39a0d6f9-4548-4bed-828d-f2d91d684bd2}" done="0">
    <x18tc:text xml:space="preserve">Óbito Daniel 4644184</x18tc:text>
  </x18tc:threadedComment>
  <x18tc:threadedComment ref="C10" dT="2025-09-09T17:50:42.00" personId="{8cadbcf0-d745-44de-b933-bd4ada8abb3a}" id="{b5f56415-1387-4559-8530-de7ff7d256ee}" done="0">
    <x18tc:text xml:space="preserve">Positivo e óbito no mesmo dia - Jose 4646602</x18tc:text>
  </x18tc:threadedComment>
  <x18tc:threadedComment ref="B20" dT="2025-09-18T11:09:57.00" personId="{8cadbcf0-d745-44de-b933-bd4ada8abb3a}" id="{3c231f00-c9e3-44d2-883a-dce2a2cbebc4}" done="0">
    <x18tc:text xml:space="preserve">Alta William 4664783</x18tc:text>
  </x18tc:threadedComment>
  <x18tc:threadedComment ref="D13" dT="2025-09-11T12:00:59.00" personId="{8cadbcf0-d745-44de-b933-bd4ada8abb3a}" id="{cc6b1ede-4750-4ce0-92ff-77c1c74b8f9b}" done="0">
    <x18tc:text xml:space="preserve">Óbito Gabriel 4633206</x18tc:text>
  </x18tc:threadedComment>
  <x18tc:threadedComment ref="B16" dT="2025-09-15T16:13:05.00" personId="{8cadbcf0-d745-44de-b933-bd4ada8abb3a}" id="{b61fe75c-d2e8-422f-a6d7-506980a08d7a}" done="0">
    <x18tc:text xml:space="preserve">William 4664783 - Reinternação</x18tc:text>
  </x18tc:threadedComment>
  <x18tc:threadedComment ref="R26" dT="2025-09-25T11:58:06.00" personId="{8cadbcf0-d745-44de-b933-bd4ada8abb3a}" id="{7644bbe1-9071-4ecf-a20b-8bb8a3ae394c}" done="0">
    <x18tc:text xml:space="preserve">Óbito Sonia 4661025</x18tc:text>
  </x18tc:threadedComment>
  <x18tc:threadedComment ref="B15" dT="2025-09-15T16:05:26.00" personId="{8cadbcf0-d745-44de-b933-bd4ada8abb3a}" id="{448015ce-352d-44c0-b125-68bfe41f44e4}" done="0">
    <x18tc:text xml:space="preserve">Óbito Claudia 4655480</x18tc:text>
  </x18tc:threadedComment>
  <x18tc:threadedComment ref="E13" dT="2025-09-15T16:33:09.00" personId="{8cadbcf0-d745-44de-b933-bd4ada8abb3a}" id="{e845bf43-50d7-4eb3-9ab5-a784c6137b0b}" done="0">
    <x18tc:text xml:space="preserve">Levi 4640139</x18tc:text>
  </x18tc:threadedComment>
  <x18tc:threadedComment ref="S25" dT="2025-09-25T11:57:09.00" personId="{8cadbcf0-d745-44de-b933-bd4ada8abb3a}" id="{3336cb08-e7cd-4b7b-b39a-dfb3879c06b6}" done="0">
    <x18tc:text xml:space="preserve">Sonia 4661025</x18tc:text>
  </x18tc:threadedComment>
  <x18tc:threadedComment ref="P26" dT="2025-09-25T11:57:43.00" personId="{8cadbcf0-d745-44de-b933-bd4ada8abb3a}" id="{f150b263-057d-4aa8-b31c-446d1878cefe}" done="0">
    <x18tc:text xml:space="preserve">Óbito Sonia 4661025</x18tc:text>
  </x18tc:threadedComment>
  <x18tc:threadedComment ref="B18" dT="2025-09-16T12:44:28.00" personId="{8cadbcf0-d745-44de-b933-bd4ada8abb3a}" id="{cfa51157-a511-4d28-858c-e4a471587868}" done="0">
    <x18tc:text xml:space="preserve">Óbito Joseane 4654512</x18tc:text>
  </x18tc:threadedComment>
  <x18tc:threadedComment ref="F13" dT="2025-09-11T16:58:24.00" personId="{8cadbcf0-d745-44de-b933-bd4ada8abb3a}" id="{725312ff-b654-4e5d-9d11-f767e0f9a8ac}" done="0">
    <x18tc:text xml:space="preserve">Óbito Edson 4659596</x18tc:text>
  </x18tc:threadedComment>
  <x18tc:threadedComment ref="G12" dT="2025-09-11T16:58:00.00" personId="{8cadbcf0-d745-44de-b933-bd4ada8abb3a}" id="{4290e48f-b0cb-4ccc-9015-4ac9ceb886d1}" done="0">
    <x18tc:text xml:space="preserve">Admissão Edson 4659596</x18tc:text>
  </x18tc:threadedComment>
  <x18tc:threadedComment ref="Q11" dT="2025-09-11T16:54:15.00" personId="{8cadbcf0-d745-44de-b933-bd4ada8abb3a}" id="{61542fe0-2d85-483d-8fa4-1ca76ab2b6a7}" done="0">
    <x18tc:text xml:space="preserve">Eliel 4651113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S9" dT="2025-10-09T17:22:02.00" personId="{8cadbcf0-d745-44de-b933-bd4ada8abb3a}" id="{3d6d7a10-b248-4657-a90d-850125b471b0}" done="0">
    <x18tc:text xml:space="preserve">ADM Yara 4673913</x18tc:text>
  </x18tc:threadedComment>
  <x18tc:threadedComment ref="C9" dT="2025-10-09T15:55:27.00" personId="{8cadbcf0-d745-44de-b933-bd4ada8abb3a}" id="{b17c2ac6-ec5e-4de7-8c89-3da57f843758}" done="0">
    <x18tc:text xml:space="preserve">ADM Maria 4662259</x18tc:text>
  </x18tc:threadedComment>
  <x18tc:threadedComment ref="C9" dT="2025-10-09T17:33:11.00" personId="{8cadbcf0-d745-44de-b933-bd4ada8abb3a}" id="{971ca22e-ca90-4e08-8878-853825415c09}" parentId="{b17c2ac6-ec5e-4de7-8c89-3da57f843758}">
    <x18tc:text xml:space="preserve">ADM Gabriel 4675335</x18tc:text>
  </x18tc:threadedComment>
  <x18tc:threadedComment ref="B11" dT="2025-10-09T15:54:32.00" personId="{8cadbcf0-d745-44de-b933-bd4ada8abb3a}" id="{af14b3b5-fdb3-427f-a708-3a77c90a2ff9}" done="0">
    <x18tc:text xml:space="preserve">Alta Rogério 4677716</x18tc:text>
  </x18tc:threadedComment>
  <x18tc:threadedComment ref="Q34" dT="2025-11-06T15:16:42.00" personId="{8cadbcf0-d745-44de-b933-bd4ada8abb3a}" id="{b133de8d-7b3a-45d6-a128-8efb16fa61b8}" done="0">
    <x18tc:text xml:space="preserve">Adm e Alta no mesmo dia Celio 4682557</x18tc:text>
  </x18tc:threadedComment>
  <x18tc:threadedComment ref="P16" dT="2025-10-14T12:35:40.00" personId="{8cadbcf0-d745-44de-b933-bd4ada8abb3a}" id="{056e42d0-98e2-47de-8960-829cdfcbd888}" done="0">
    <x18tc:text xml:space="preserve">Alta Claúdio 4643751</x18tc:text>
  </x18tc:threadedComment>
  <x18tc:threadedComment ref="F21" dT="2025-10-20T17:25:26.00" personId="{8cadbcf0-d745-44de-b933-bd4ada8abb3a}" id="{3d30aa95-8153-477c-b7d8-7a57bb49bfe7}" done="0">
    <x18tc:text xml:space="preserve">Alta Antonio  4693232</x18tc:text>
  </x18tc:threadedComment>
  <x18tc:threadedComment ref="C18" dT="2025-10-20T16:31:41.00" personId="{8cadbcf0-d745-44de-b933-bd4ada8abb3a}" id="{31544f60-c518-4953-a343-2aba4076a525}" done="0">
    <x18tc:text xml:space="preserve">Adm Jose 4691957</x18tc:text>
  </x18tc:threadedComment>
  <x18tc:threadedComment ref="O17" dT="2025-10-20T16:25:37.00" personId="{8cadbcf0-d745-44de-b933-bd4ada8abb3a}" id="{893fda8d-1ea5-451e-8c21-5d654c68c923}" done="0">
    <x18tc:text xml:space="preserve">Adm Jose 4691957</x18tc:text>
  </x18tc:threadedComment>
  <x18tc:threadedComment ref="N18" dT="2025-10-20T16:27:02.00" personId="{8cadbcf0-d745-44de-b933-bd4ada8abb3a}" id="{00fd26ef-6a45-47cb-b492-80c630c97d59}" done="0">
    <x18tc:text xml:space="preserve">Transferencia p/ UTI A Jose 4691957</x18tc:text>
  </x18tc:threadedComment>
  <x18tc:threadedComment ref="G19" dT="2025-10-20T15:55:05.00" personId="{8cadbcf0-d745-44de-b933-bd4ada8abb3a}" id="{825fac58-8b0d-426e-b35e-23a5b07763bb}" done="0">
    <x18tc:text xml:space="preserve">Adm Antonio 4693232
Adm Luis 4689649</x18tc:text>
  </x18tc:threadedComment>
  <x18tc:threadedComment ref="O30" dT="2025-10-29T15:35:44.00" personId="{8cadbcf0-d745-44de-b933-bd4ada8abb3a}" id="{98143e73-8339-4a4b-a4b1-8a8d0f2dc6b0}" done="0">
    <x18tc:text xml:space="preserve">Adm Brigida 4700909</x18tc:text>
  </x18tc:threadedComment>
  <x18tc:threadedComment ref="S15" dT="2025-10-20T17:27:47.00" personId="{8cadbcf0-d745-44de-b933-bd4ada8abb3a}" id="{eba67505-6efd-4b93-9c39-65654458a3b2}" done="0">
    <x18tc:text xml:space="preserve">Adm Rodrigo 467578</x18tc:text>
  </x18tc:threadedComment>
  <x18tc:threadedComment ref="C10" dT="2025-10-09T17:27:48.00" personId="{8cadbcf0-d745-44de-b933-bd4ada8abb3a}" id="{252cd401-c107-4757-813f-a1f2cc74aeda}" done="0">
    <x18tc:text xml:space="preserve">ADM Rogério 4677716</x18tc:text>
  </x18tc:threadedComment>
  <x18tc:threadedComment ref="O31" dT="2025-10-29T15:39:35.00" personId="{8cadbcf0-d745-44de-b933-bd4ada8abb3a}" id="{a381b43b-dd60-4d83-b856-1f37f01b4163}" done="0">
    <x18tc:text xml:space="preserve">Adm Joao 4703636</x18tc:text>
  </x18tc:threadedComment>
  <x18tc:threadedComment ref="N31" dT="2025-10-29T15:36:07.00" personId="{8cadbcf0-d745-44de-b933-bd4ada8abb3a}" id="{f0f79f34-d7a4-491a-8613-6708951c7037}" done="0">
    <x18tc:text xml:space="preserve">óbito Brigida 4700909</x18tc:text>
  </x18tc:threadedComment>
  <x18tc:threadedComment ref="N12" dT="2025-10-10T12:29:31.00" personId="{8cadbcf0-d745-44de-b933-bd4ada8abb3a}" id="{ec894108-14e4-400d-9c8e-f1b74fce8d15}" done="0">
    <x18tc:text xml:space="preserve">Alta Sueli 4668615</x18tc:text>
  </x18tc:threadedComment>
  <x18tc:threadedComment ref="B25" dT="2025-10-23T13:10:37.00" personId="{8cadbcf0-d745-44de-b933-bd4ada8abb3a}" id="{67e2d6fc-6c1b-4ad5-886d-a1a1e8b00b36}" done="0">
    <x18tc:text xml:space="preserve">Alta Pamela 4685466</x18tc:text>
  </x18tc:threadedComment>
  <x18tc:threadedComment ref="D12" dT="2025-10-10T12:12:04.00" personId="{8cadbcf0-d745-44de-b933-bd4ada8abb3a}" id="{45450716-3f23-4708-8d99-b0bc38fdec21}" done="0">
    <x18tc:text xml:space="preserve">ALTA Sueli 4682514</x18tc:text>
  </x18tc:threadedComment>
  <x18tc:threadedComment ref="C7" dT="2025-10-09T17:04:27.00" personId="{8cadbcf0-d745-44de-b933-bd4ada8abb3a}" id="{21a94906-62ac-47ce-9d07-1f148a49c0ef}" done="0">
    <x18tc:text xml:space="preserve">ADM Rosangela 4660876</x18tc:text>
  </x18tc:threadedComment>
  <x18tc:threadedComment ref="B9" dT="2025-10-09T17:34:39.00" personId="{8cadbcf0-d745-44de-b933-bd4ada8abb3a}" id="{285fa9df-a252-4755-8be7-1f8255f1f654}" done="0">
    <x18tc:text xml:space="preserve">ALTA  no mesmo dia da entrada Gabriel 4675335</x18tc:text>
  </x18tc:threadedComment>
  <x18tc:threadedComment ref="E9" dT="2025-10-10T12:14:19.00" personId="{8cadbcf0-d745-44de-b933-bd4ada8abb3a}" id="{27c10392-ab13-49ac-b5b1-5e1b6d97d921}" done="0">
    <x18tc:text xml:space="preserve">ADM Sueli 4682514</x18tc:text>
  </x18tc:threadedComment>
  <x18tc:threadedComment ref="O9" dT="2025-10-10T12:28:32.00" personId="{8cadbcf0-d745-44de-b933-bd4ada8abb3a}" id="{3258d8b0-6a03-4228-bac0-21e432f0b224}" done="0">
    <x18tc:text xml:space="preserve">AMD Sueli 4668615</x18tc:text>
  </x18tc:threadedComment>
  <x18tc:threadedComment ref="G28" dT="2025-10-28T13:42:48.00" personId="{8cadbcf0-d745-44de-b933-bd4ada8abb3a}" id="{f115141b-5927-4ffb-8914-da52daca9d1e}" done="0">
    <x18tc:text xml:space="preserve">Adm Jose 4690491</x18tc:text>
  </x18tc:threadedComment>
  <x18tc:threadedComment ref="R13" dT="2025-10-13T13:14:33.00" personId="{8cadbcf0-d745-44de-b933-bd4ada8abb3a}" id="{9db45ea4-b811-4ff7-810d-7bde19e1017b}" done="0">
    <x18tc:text xml:space="preserve">Alta Yara 4673913</x18tc:text>
  </x18tc:threadedComment>
  <x18tc:threadedComment ref="P13" dT="2025-10-13T13:14:28.00" personId="{8cadbcf0-d745-44de-b933-bd4ada8abb3a}" id="{e1a04fec-e6bc-4456-98ec-e87884756eaf}" done="0">
    <x18tc:text xml:space="preserve">Alta Yara 4673913</x18tc:text>
  </x18tc:threadedComment>
  <x18tc:threadedComment ref="E16" dT="2025-10-16T19:03:49.00" personId="{8cadbcf0-d745-44de-b933-bd4ada8abb3a}" id="{f7734060-bec5-45b9-8464-fd843189b43e}" done="0">
    <x18tc:text xml:space="preserve">Adm Rosangela 4660876</x18tc:text>
  </x18tc:threadedComment>
  <x18tc:threadedComment ref="O15" dT="2025-10-16T19:05:50.00" personId="{8cadbcf0-d745-44de-b933-bd4ada8abb3a}" id="{77666cdb-7323-4145-bef5-e2c6f3579197}" done="0">
    <x18tc:text xml:space="preserve">Adm Rodrigo 4675784</x18tc:text>
  </x18tc:threadedComment>
  <x18tc:threadedComment ref="S16" dT="2025-10-16T18:56:01.00" personId="{8cadbcf0-d745-44de-b933-bd4ada8abb3a}" id="{72070525-652a-42a7-97ec-d51950a9855b}" done="0">
    <x18tc:text xml:space="preserve">Adm Rafael 4677737
Adm Luiz 4690501</x18tc:text>
  </x18tc:threadedComment>
  <x18tc:threadedComment ref="N9" dT="2025-10-07T12:08:12.00" personId="{8cadbcf0-d745-44de-b933-bd4ada8abb3a}" id="{3ec0bbab-131c-4a64-b2d9-1c838557f523}" done="0">
    <x18tc:text xml:space="preserve">Alta Rogério 4677716</x18tc:text>
  </x18tc:threadedComment>
  <x18tc:threadedComment ref="B19" dT="2025-10-17T15:18:51.00" personId="{8cadbcf0-d745-44de-b933-bd4ada8abb3a}" id="{1601124c-d3ed-4b99-83ea-8c71c9b6abd9}" done="0">
    <x18tc:text xml:space="preserve">Óbito Rosangela 4660876
Alta Maria 4662259</x18tc:text>
  </x18tc:threadedComment>
  <x18tc:threadedComment ref="P20" dT="2025-10-17T15:52:41.00" personId="{8cadbcf0-d745-44de-b933-bd4ada8abb3a}" id="{6df1c1f5-f8a9-4c20-b21d-280eb02e221b}" done="0">
    <x18tc:text xml:space="preserve">Alta Rodrigo 467578
Transferencia p/ UTI A  Rafael 4677737</x18tc:text>
  </x18tc:threadedComment>
  <x18tc:threadedComment ref="D19" dT="2025-10-17T15:18:59.00" personId="{8cadbcf0-d745-44de-b933-bd4ada8abb3a}" id="{22015eef-88c3-45b7-b6c0-18ad5cd2931c}" done="0">
    <x18tc:text xml:space="preserve">Óbito Rosangela 4660876</x18tc:text>
  </x18tc:threadedComment>
  <x18tc:threadedComment ref="N20" dT="2025-10-17T15:50:03.00" personId="{8cadbcf0-d745-44de-b933-bd4ada8abb3a}" id="{8abeffc7-419c-4564-b7be-28795a408351}" done="0">
    <x18tc:text xml:space="preserve">Alta Rodrigo 4675784</x18tc:text>
  </x18tc:threadedComment>
  <x18tc:threadedComment ref="Q15" dT="2025-10-13T17:22:08.00" personId="{8cadbcf0-d745-44de-b933-bd4ada8abb3a}" id="{932ce31c-ba0d-4197-90b2-29498b3b8f6f}" done="0">
    <x18tc:text xml:space="preserve">Adm Rodrigo 4675784</x18tc:text>
  </x18tc:threadedComment>
  <x18tc:threadedComment ref="Z13" dT="2025-10-13T14:38:56.00" personId="{8cadbcf0-d745-44de-b933-bd4ada8abb3a}" id="{09603286-b3b7-4cd5-bd1c-dcd01e323e2e}" done="0">
    <x18tc:text xml:space="preserve">Alta no mesmo dia Pedro 4688227</x18tc:text>
  </x18tc:threadedComment>
  <x18tc:threadedComment ref="N32" dT="2025-10-30T16:54:21.00" personId="{8cadbcf0-d745-44de-b933-bd4ada8abb3a}" id="{455fb841-549c-43d5-981d-a0edd3356f07}" done="0">
    <x18tc:text xml:space="preserve">Alta Joao 4703636</x18tc:text>
  </x18tc:threadedComment>
  <x18tc:threadedComment ref="AA13" dT="2025-10-13T14:37:43.00" personId="{8cadbcf0-d745-44de-b933-bd4ada8abb3a}" id="{9c27a4ab-403d-406b-b2eb-ddb97cb22b0d}" done="0">
    <x18tc:text xml:space="preserve">Adm Pedro 4688227</x18tc:text>
  </x18tc:threadedComment>
  <x18tc:threadedComment ref="B31" dT="2025-10-29T15:25:57.00" personId="{8cadbcf0-d745-44de-b933-bd4ada8abb3a}" id="{9852f880-a99b-493b-a2ff-61238b74e5dd}" done="0">
    <x18tc:text xml:space="preserve">óbito Gerson 4689649
Alta Sebastião 4703714</x18tc:text>
  </x18tc:threadedComment>
  <x18tc:threadedComment ref="R30" dT="2025-10-28T13:14:38.00" personId="{8cadbcf0-d745-44de-b933-bd4ada8abb3a}" id="{051995e4-ffe7-46e3-9ed9-a4129356aa7f}" done="0">
    <x18tc:text xml:space="preserve">Alta Rafael 4677737</x18tc:text>
  </x18tc:threadedComment>
  <x18tc:threadedComment ref="P30" dT="2025-10-28T13:14:28.00" personId="{8cadbcf0-d745-44de-b933-bd4ada8abb3a}" id="{17885ff9-7b80-42d8-aa23-afaa05670def}" done="0">
    <x18tc:text xml:space="preserve">Alta Rafael 4677737
Alta Eric 4684220</x18tc:text>
  </x18tc:threadedComment>
  <x18tc:threadedComment ref="G20" dT="2025-10-20T14:21:34.00" personId="{8cadbcf0-d745-44de-b933-bd4ada8abb3a}" id="{723a8e3d-ee61-4092-829f-29654832c51c}" done="0">
    <x18tc:text xml:space="preserve">Adm Rafael 4677737</x18tc:text>
  </x18tc:threadedComment>
  <x18tc:threadedComment ref="Z28" dT="2025-10-27T14:21:15.00" personId="{8cadbcf0-d745-44de-b933-bd4ada8abb3a}" id="{ef83fa42-6923-479a-8d01-883a1b2048bb}" done="0">
    <x18tc:text xml:space="preserve">Alta 4534986</x18tc:text>
  </x18tc:threadedComment>
  <x18tc:threadedComment ref="N28" dT="2025-10-27T14:13:14.00" personId="{8cadbcf0-d745-44de-b933-bd4ada8abb3a}" id="{c6ba21a1-1bcc-45a1-b84f-0d2b7b532c0a}" done="0">
    <x18tc:text xml:space="preserve">Óbito Crislaine 4690590</x18tc:text>
  </x18tc:threadedComment>
  <x18tc:threadedComment ref="F30" dT="2025-10-28T13:01:03.00" personId="{8cadbcf0-d745-44de-b933-bd4ada8abb3a}" id="{973f9f0e-ea92-46e7-9501-c02afd4f2074}" done="0">
    <x18tc:text xml:space="preserve">óbito Antonio 4693232</x18tc:text>
  </x18tc:threadedComment>
  <x18tc:threadedComment ref="R20" dT="2025-10-20T14:08:53.00" personId="{8cadbcf0-d745-44de-b933-bd4ada8abb3a}" id="{443bfcf1-6e29-4d60-98a6-d7d558a28e71}" done="0">
    <x18tc:text xml:space="preserve">Transferencia p/ UTI A Rafael 4677737
Alta Rodrigo 467578</x18tc:text>
  </x18tc:threadedComment>
  <x18tc:threadedComment ref="F29" dT="2025-10-27T13:59:16.00" personId="{8cadbcf0-d745-44de-b933-bd4ada8abb3a}" id="{dfec0329-791d-4374-93b0-7817b7b59812}" done="0">
    <x18tc:text xml:space="preserve">Readmissão Antonio 4693232
ALta Jose 4690491</x18tc:text>
  </x18tc:threadedComment>
  <x18tc:threadedComment ref="E20" dT="2025-10-20T14:21:40.00" personId="{8cadbcf0-d745-44de-b933-bd4ada8abb3a}" id="{ad32515c-f196-449c-a16b-67ff02fcb47e}" done="0">
    <x18tc:text xml:space="preserve">Adm Rafael 4677737</x18tc:text>
  </x18tc:threadedComment>
  <x18tc:threadedComment ref="C23" dT="2025-10-23T14:24:51.00" personId="{8cadbcf0-d745-44de-b933-bd4ada8abb3a}" id="{b3326b84-b70e-45c3-bf6a-34be6399596a}" done="0">
    <x18tc:text xml:space="preserve">Adm Daniel 4690541
Adm Pamela 4685466</x18tc:text>
  </x18tc:threadedComment>
  <x18tc:threadedComment ref="Q22" dT="2025-10-23T14:21:31.00" personId="{8cadbcf0-d745-44de-b933-bd4ada8abb3a}" id="{ebc57058-efc7-46c9-ae04-57f47a1b39fe}" done="0">
    <x18tc:text xml:space="preserve">Adm Eric 4684220</x18tc:text>
  </x18tc:threadedComment>
  <x18tc:threadedComment ref="R9" dT="2025-10-06T12:26:45.00" personId="{8cadbcf0-d745-44de-b933-bd4ada8abb3a}" id="{b7b6e56e-59a0-4d42-be13-341605eb87cd}" done="0">
    <x18tc:text xml:space="preserve">Obito Sonia 4640871</x18tc:text>
  </x18tc:threadedComment>
  <x18tc:threadedComment ref="P9" dT="2025-10-06T12:27:08.00" personId="{8cadbcf0-d745-44de-b933-bd4ada8abb3a}" id="{d4676a87-c3e0-49ba-8a90-4af6e5d29878}" done="0">
    <x18tc:text xml:space="preserve">Obito Sonia 4640871</x18tc:text>
  </x18tc:threadedComment>
  <x18tc:threadedComment ref="B6" dT="2025-10-09T17:44:37.00" personId="{8cadbcf0-d745-44de-b933-bd4ada8abb3a}" id="{06871888-55b6-41ec-940b-ef681402e730}" done="0">
    <x18tc:text xml:space="preserve">Alta Antonio 4675272</x18tc:text>
  </x18tc:threadedComment>
  <x18tc:threadedComment ref="O23" dT="2025-10-23T14:20:42.00" personId="{8cadbcf0-d745-44de-b933-bd4ada8abb3a}" id="{d380718b-e627-493d-9d42-9a12d0c45549}" done="0">
    <x18tc:text xml:space="preserve">Adm Crislaine 4690590</x18tc:text>
  </x18tc:threadedComment>
  <x18tc:threadedComment ref="E23" dT="2025-10-23T13:25:07.00" personId="{8cadbcf0-d745-44de-b933-bd4ada8abb3a}" id="{9e947600-f53c-4dab-8fff-d53a1d3db95d}" done="0">
    <x18tc:text xml:space="preserve">Adm Lucilene 4684069</x18tc:text>
  </x18tc:threadedComment>
  <x18tc:threadedComment ref="E5" dT="2025-10-06T12:12:39.00" personId="{8cadbcf0-d745-44de-b933-bd4ada8abb3a}" id="{379f2f08-0e7d-4e5e-9b8c-d8787710727a}" done="0">
    <x18tc:text xml:space="preserve">ADM Antonio 4675272</x18tc:text>
  </x18tc:threadedComment>
  <x18tc:threadedComment ref="C5" dT="2025-10-03T13:23:48.00" personId="{8cadbcf0-d745-44de-b933-bd4ada8abb3a}" id="{14beac9e-4343-4b22-8355-f75b936fa046}" done="0">
    <x18tc:text xml:space="preserve">Adm Antonio 4675272</x18tc:text>
  </x18tc:threadedComment>
  <x18tc:threadedComment ref="D6" dT="2025-10-06T12:24:03.00" personId="{8cadbcf0-d745-44de-b933-bd4ada8abb3a}" id="{901bc335-a4a1-4930-b038-e90da0b561b2}" done="0">
    <x18tc:text xml:space="preserve">ALTA Rodrigo 4675784
Alta Antonio 4675272</x18tc:text>
  </x18tc:threadedComment>
  <x18tc:threadedComment ref="D23" dT="2025-10-22T16:00:53.00" personId="{8cadbcf0-d745-44de-b933-bd4ada8abb3a}" id="{26e41aaa-3e28-4a5b-8ba5-ae391c331ab1}" done="0">
    <x18tc:text xml:space="preserve">Transferência p/ UTI c Rafael 4677737</x18tc:text>
  </x18tc:threadedComment>
  <x18tc:threadedComment ref="F23" dT="2025-10-22T16:01:01.00" personId="{8cadbcf0-d745-44de-b933-bd4ada8abb3a}" id="{21818fe8-eb67-4b19-abfe-c0d3b7d92eea}" done="0">
    <x18tc:text xml:space="preserve">Transferência para UTI c Rafael 4677737</x18tc:text>
  </x18tc:threadedComment>
  <x18tc:threadedComment ref="P23" dT="2025-10-22T16:02:15.00" personId="{8cadbcf0-d745-44de-b933-bd4ada8abb3a}" id="{07808d34-4ba3-4836-bb1f-c6e398990b12}" done="0">
    <x18tc:text xml:space="preserve">Readmissão Rafael 4677737</x18tc:text>
  </x18tc:threadedComment>
  <x18tc:threadedComment ref="R23" dT="2025-10-22T16:02:48.00" personId="{8cadbcf0-d745-44de-b933-bd4ada8abb3a}" id="{07f8c506-f3c6-41bc-85d8-ad43796dca31}" done="0">
    <x18tc:text xml:space="preserve">Readmissão Rafael 4677737</x18tc:text>
  </x18tc:threadedComment>
  <x18tc:threadedComment ref="C19" dT="2025-10-22T17:37:13.00" personId="{8cadbcf0-d745-44de-b933-bd4ada8abb3a}" id="{365ec1c4-2262-4dce-b8dd-f06930855811}" done="0">
    <x18tc:text xml:space="preserve">Adm Gerson 4684177
Adm Antonio 4693232</x18tc:text>
  </x18tc:threadedComment>
  <x18tc:threadedComment ref="AA12" dT="2025-10-16T16:22:32.00" personId="{8cadbcf0-d745-44de-b933-bd4ada8abb3a}" id="{7f18ffb9-ebca-4d3e-8d57-3d4863be70d6}" done="0">
    <x18tc:text xml:space="preserve">Adm Matheo 4534986</x18tc:text>
  </x18tc:threadedComment>
  <x18tc:threadedComment ref="D24" dT="2025-10-22T16:14:28.00" personId="{8cadbcf0-d745-44de-b933-bd4ada8abb3a}" id="{9ac8846c-42b5-496f-8489-9e0ad0a7e647}" done="0">
    <x18tc:text xml:space="preserve">Transferência p/ UTI C Fatima 4662295</x18tc:text>
  </x18tc:threadedComment>
  <x18tc:threadedComment ref="Q16" dT="2025-10-16T16:24:40.00" personId="{8cadbcf0-d745-44de-b933-bd4ada8abb3a}" id="{6ab974d2-71f9-4dbd-bf00-d6fafe300642}" done="0">
    <x18tc:text xml:space="preserve">Adm Rafael 4677737</x18tc:text>
  </x18tc:threadedComment>
  <x18tc:threadedComment ref="Q24" dT="2025-10-22T16:16:21.00" personId="{8cadbcf0-d745-44de-b933-bd4ada8abb3a}" id="{da272d18-bf0b-43da-bac6-b98aec2580eb}" done="0">
    <x18tc:text xml:space="preserve">Adm Fatima 4662295</x18tc:text>
  </x18tc:threadedComment>
  <x18tc:threadedComment ref="B28" dT="2025-10-27T12:41:00.00" personId="{8cadbcf0-d745-44de-b933-bd4ada8abb3a}" id="{306d012a-ff1d-4225-bf01-0986183b77a2}" done="0">
    <x18tc:text xml:space="preserve">Alta Marcelo 4658148
Alta Mauri 4701822</x18tc:text>
  </x18tc:threadedComment>
  <x18tc:threadedComment ref="B27" dT="2025-10-27T12:49:34.00" personId="{8cadbcf0-d745-44de-b933-bd4ada8abb3a}" id="{6a87767e-428a-4415-ab45-8edb41f8ec25}" done="0">
    <x18tc:text xml:space="preserve">Readmissão Jose 4690491</x18tc:text>
  </x18tc:threadedComment>
  <x18tc:threadedComment ref="B30" dT="2025-10-31T17:40:18.00" personId="{8cadbcf0-d745-44de-b933-bd4ada8abb3a}" id="{48e349ae-1005-4ce1-b9b7-6f0a86a9a04e}" done="0">
    <x18tc:text xml:space="preserve">ALta Antonio 4693232</x18tc:text>
  </x18tc:threadedComment>
  <x18tc:threadedComment ref="B21" dT="2025-10-31T17:38:41.00" personId="{8cadbcf0-d745-44de-b933-bd4ada8abb3a}" id="{a2e6ff85-c90f-4c50-b73f-848caf97aa0a}" done="0">
    <x18tc:text xml:space="preserve">ALta Antonio 4693232</x18tc:text>
  </x18tc:threadedComment>
  <x18tc:threadedComment ref="E29" dT="2025-10-31T17:20:47.00" personId="{8cadbcf0-d745-44de-b933-bd4ada8abb3a}" id="{87cf52ed-343a-492d-a0fe-b7d3f3bfac8b}" done="0">
    <x18tc:text xml:space="preserve">Adm Lourdes 4703565</x18tc:text>
  </x18tc:threadedComment>
  <x18tc:threadedComment ref="B29" dT="2025-10-27T12:51:19.00" personId="{8cadbcf0-d745-44de-b933-bd4ada8abb3a}" id="{74aeda6f-41a3-4e2a-895b-f3e452a4eab8}" done="0">
    <x18tc:text xml:space="preserve">Alta Jose 4690491
Readmissão Antonio 4693232</x18tc:text>
  </x18tc:threadedComment>
  <x18tc:threadedComment ref="B26" dT="2025-10-24T12:20:59.00" personId="{8cadbcf0-d745-44de-b933-bd4ada8abb3a}" id="{b78b012b-76f8-4a13-a742-15ca390e812e}" done="0">
    <x18tc:text xml:space="preserve">Óbito Jose 4691957
Readmissão Mauri 4701867</x18tc:text>
  </x18tc:threadedComment>
  <x18tc:threadedComment ref="E13" dT="2025-10-14T12:44:14.00" personId="{8cadbcf0-d745-44de-b933-bd4ada8abb3a}" id="{7d60639b-e27e-47a2-8ef6-9fc85115b9b3}" done="0">
    <x18tc:text xml:space="preserve">Adm Helena 4662270 (óbito no mesmo dia)</x18tc:text>
  </x18tc:threadedComment>
  <x18tc:threadedComment ref="P4" dT="2025-10-02T11:31:30.00" personId="{8cadbcf0-d745-44de-b933-bd4ada8abb3a}" id="{a6eec409-46bb-4b4f-a315-c8f366a1f072}" done="0">
    <x18tc:text xml:space="preserve">Alta Yan 4656583</x18tc:text>
  </x18tc:threadedComment>
  <x18tc:threadedComment ref="C30" dT="2025-10-31T17:30:01.00" personId="{8cadbcf0-d745-44de-b933-bd4ada8abb3a}" id="{3b9934fe-3118-46fd-832e-213398fed0dd}" done="0">
    <x18tc:text xml:space="preserve">Adm Sebastião 4703714</x18tc:text>
  </x18tc:threadedComment>
  <x18tc:threadedComment ref="C16" dT="2025-10-15T15:02:24.00" personId="{8cadbcf0-d745-44de-b933-bd4ada8abb3a}" id="{4eff663a-e419-4cc3-beda-351aa1eafae5}" done="0">
    <x18tc:text xml:space="preserve">Adm Jose 4688255
Adm Jose 4666144</x18tc:text>
  </x18tc:threadedComment>
  <x18tc:threadedComment ref="D4" dT="2025-10-02T11:25:31.00" personId="{8cadbcf0-d745-44de-b933-bd4ada8abb3a}" id="{058f72ba-4c5d-47c2-85ac-c9f5f0a43dc3}" done="0">
    <x18tc:text xml:space="preserve">Óbito Levi 4640139</x18tc:text>
  </x18tc:threadedComment>
  <x18tc:threadedComment ref="D30" dT="2025-10-31T17:20:54.00" personId="{8cadbcf0-d745-44de-b933-bd4ada8abb3a}" id="{49262c84-7048-4b87-9bae-e1f8d1c52e55}" done="0">
    <x18tc:text xml:space="preserve">óbito Lourdes 4703565</x18tc:text>
  </x18tc:threadedComment>
  <x18tc:threadedComment ref="B17" dT="2025-10-15T15:03:00.00" personId="{8cadbcf0-d745-44de-b933-bd4ada8abb3a}" id="{7f71e4d2-f13f-4a44-8556-18fb3e45b10d}" done="0">
    <x18tc:text xml:space="preserve">Óbito Jose 4688255</x18tc:text>
  </x18tc:threadedComment>
  <x18tc:threadedComment ref="B13" dT="2025-10-13T16:59:12.00" personId="{8cadbcf0-d745-44de-b933-bd4ada8abb3a}" id="{9ea298df-1aaa-4ab8-b559-1b7ef25e47af}" done="0">
    <x18tc:text xml:space="preserve">Óbito Helena 4662270</x18tc:text>
  </x18tc:threadedComment>
</x18tc:ThreadedComments>
</file>

<file path=xl/threadedComments/threadedComment1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9" dT="2025-11-17T14:46:11.00" personId="{8cadbcf0-d745-44de-b933-bd4ada8abb3a}" id="{67fa24f4-b661-41a4-b13d-f384a8152b04}" done="0">
    <x18tc:text xml:space="preserve">Óbito Celio 4682557</x18tc:text>
  </x18tc:threadedComment>
  <x18tc:threadedComment ref="P8" dT="2025-11-06T15:14:01.00" personId="{8cadbcf0-d745-44de-b933-bd4ada8abb3a}" id="{f77b78a7-e17b-4255-bf89-fe2cfeca919d}" done="0">
    <x18tc:text xml:space="preserve">óbito Fatima 4662295
Readmissão Celio 4682557</x18tc:text>
  </x18tc:threadedComment>
  <x18tc:threadedComment ref="E8" dT="2025-11-06T14:39:04.00" personId="{8cadbcf0-d745-44de-b933-bd4ada8abb3a}" id="{a6a1ebe9-fe27-4092-961a-3b7dd94ed1f9}" done="0">
    <x18tc:text xml:space="preserve">Adm Eric 4709421</x18tc:text>
  </x18tc:threadedComment>
  <x18tc:threadedComment ref="B27" dT="2025-11-24T14:35:18.00" personId="{8cadbcf0-d745-44de-b933-bd4ada8abb3a}" id="{9bb252c2-bc82-468c-992a-562d88bdf500}" done="0">
    <x18tc:text xml:space="preserve">Alta Daniel 4690541</x18tc:text>
  </x18tc:threadedComment>
  <x18tc:threadedComment ref="P17" dT="2025-11-17T15:01:53.00" personId="{8cadbcf0-d745-44de-b933-bd4ada8abb3a}" id="{db87fbd1-de18-4e4b-b1d9-6dbda229d652}" done="0">
    <x18tc:text xml:space="preserve">Alta Marcus 4693465</x18tc:text>
  </x18tc:threadedComment>
  <x18tc:threadedComment ref="N18" dT="2025-11-17T15:03:24.00" personId="{8cadbcf0-d745-44de-b933-bd4ada8abb3a}" id="{4c3563f3-c6ac-49ce-9749-6715056be214}" done="0">
    <x18tc:text xml:space="preserve">óbito Damires 4703157</x18tc:text>
  </x18tc:threadedComment>
  <x18tc:threadedComment ref="G4" dT="2025-11-05T11:05:11.00" personId="{8cadbcf0-d745-44de-b933-bd4ada8abb3a}" id="{8039a3d7-fff5-497e-b115-ff52a603209a}" done="0">
    <x18tc:text xml:space="preserve">Adm e Óbito Benedito 4699873</x18tc:text>
  </x18tc:threadedComment>
  <x18tc:threadedComment ref="O20" dT="2025-11-24T14:27:31.00" personId="{8cadbcf0-d745-44de-b933-bd4ada8abb3a}" id="{cb6bff05-77f1-468a-87a0-4df1fb0cc43f}" done="0">
    <x18tc:text xml:space="preserve">Adm Luis 4716317</x18tc:text>
  </x18tc:threadedComment>
  <x18tc:threadedComment ref="P28" dT="2025-11-26T11:36:41.00" personId="{8cadbcf0-d745-44de-b933-bd4ada8abb3a}" id="{8f99d3d0-7efe-4ca9-9569-0a59d5165999}" done="0">
    <x18tc:text xml:space="preserve">óbito Lindinalva 4719625</x18tc:text>
  </x18tc:threadedComment>
  <x18tc:threadedComment ref="D8" dT="2025-11-06T15:10:19.00" personId="{8cadbcf0-d745-44de-b933-bd4ada8abb3a}" id="{edd3036b-bedf-4bd5-9890-0e3c5201dbd9}" done="0">
    <x18tc:text xml:space="preserve">Alta Lucilene 4709421</x18tc:text>
  </x18tc:threadedComment>
  <x18tc:threadedComment ref="E28" dT="2025-12-03T15:26:19.00" personId="{8cadbcf0-d745-44de-b933-bd4ada8abb3a}" id="{9b628cf2-02ec-43f3-9832-9f8b4d54133d}" done="0">
    <x18tc:text xml:space="preserve">Adm Luis 4689649</x18tc:text>
  </x18tc:threadedComment>
  <x18tc:threadedComment ref="Q28" dT="2025-12-03T15:46:29.00" personId="{8cadbcf0-d745-44de-b933-bd4ada8abb3a}" id="{9339e9a3-07aa-4320-aab4-c9f99ed4cffd}" done="0">
    <x18tc:text xml:space="preserve">Adm Genesia 47222762</x18tc:text>
  </x18tc:threadedComment>
  <x18tc:threadedComment ref="P31" dT="2025-12-03T15:47:02.00" personId="{8cadbcf0-d745-44de-b933-bd4ada8abb3a}" id="{121d3ac2-593b-453a-a7f6-7d0038329214}" done="0">
    <x18tc:text xml:space="preserve">óbito Genesia 4722762</x18tc:text>
  </x18tc:threadedComment>
  <x18tc:threadedComment ref="C32" dT="2025-12-03T15:37:12.00" personId="{8cadbcf0-d745-44de-b933-bd4ada8abb3a}" id="{6af30c2c-7297-4195-b3aa-7eecb00f51c8}" done="0">
    <x18tc:text xml:space="preserve">Adm Zezito 4728082</x18tc:text>
  </x18tc:threadedComment>
  <x18tc:threadedComment ref="B30" dT="2025-12-03T15:29:52.00" personId="{8cadbcf0-d745-44de-b933-bd4ada8abb3a}" id="{fc1ccf2a-972d-4509-9674-843502f9924f}" done="0">
    <x18tc:text xml:space="preserve">Readmissão Daniel 4690541</x18tc:text>
  </x18tc:threadedComment>
  <x18tc:threadedComment ref="Q19" dT="2025-11-24T14:23:59.00" personId="{8cadbcf0-d745-44de-b933-bd4ada8abb3a}" id="{cc82497c-7ac0-4ace-bdcb-9c8fb8e99125}" done="0">
    <x18tc:text xml:space="preserve">Adm Lindinalva 4719625</x18tc:text>
  </x18tc:threadedComment>
  <x18tc:threadedComment ref="Q6" dT="2025-11-06T15:40:05.00" personId="{8cadbcf0-d745-44de-b933-bd4ada8abb3a}" id="{d4a2a77f-ca2f-4e72-8981-407df0f0a232}" done="0">
    <x18tc:text xml:space="preserve">Adm Marcus 4693465</x18tc:text>
  </x18tc:threadedComment>
  <x18tc:threadedComment ref="R23" dT="2025-11-24T13:36:34.00" personId="{8cadbcf0-d745-44de-b933-bd4ada8abb3a}" id="{b20461e5-6216-4154-a324-4861e37286f0}" done="0">
    <x18tc:text xml:space="preserve">Alta Odete 4718952</x18tc:text>
  </x18tc:threadedComment>
  <x18tc:threadedComment ref="R29" dT="2025-12-03T16:04:27.00" personId="{8cadbcf0-d745-44de-b933-bd4ada8abb3a}" id="{99bf960f-da12-44fc-826a-026465657a94}" done="0">
    <x18tc:text xml:space="preserve">Óbito Cleuza 4722279</x18tc:text>
  </x18tc:threadedComment>
  <x18tc:threadedComment ref="S26" dT="2025-12-03T16:03:50.00" personId="{8cadbcf0-d745-44de-b933-bd4ada8abb3a}" id="{c45e05da-994f-4fe3-bc0c-0d2a42149d8e}" done="0">
    <x18tc:text xml:space="preserve">Adm Cleuza 4722279</x18tc:text>
  </x18tc:threadedComment>
  <x18tc:threadedComment ref="N23" dT="2025-11-24T13:35:54.00" personId="{8cadbcf0-d745-44de-b933-bd4ada8abb3a}" id="{dcf75b6d-866f-4fca-b3bc-9f7e7d62f2c7}" done="0">
    <x18tc:text xml:space="preserve">Alta Odete 4718952
Alta Irene 4718952</x18tc:text>
  </x18tc:threadedComment>
  <x18tc:threadedComment ref="D29" dT="2025-12-03T15:26:48.00" personId="{8cadbcf0-d745-44de-b933-bd4ada8abb3a}" id="{823f4b46-010e-49c1-88b6-0eb420577998}" done="0">
    <x18tc:text xml:space="preserve">Trasnferencia p/ UTI C Luis 4689649</x18tc:text>
  </x18tc:threadedComment>
  <x18tc:threadedComment ref="Q29" dT="2025-12-03T15:27:07.00" personId="{8cadbcf0-d745-44de-b933-bd4ada8abb3a}" id="{9612bdea-28c2-4f4d-9db8-85255d101cf6}" done="0">
    <x18tc:text xml:space="preserve">Adm Luis 4689649</x18tc:text>
  </x18tc:threadedComment>
  <x18tc:threadedComment ref="F33" dT="2025-12-02T14:50:32.00" personId="{8cadbcf0-d745-44de-b933-bd4ada8abb3a}" id="{224a9ac5-b621-453c-990e-8a9345a50964}" done="0">
    <x18tc:text xml:space="preserve">óbito Irene 4698256</x18tc:text>
  </x18tc:threadedComment>
  <x18tc:threadedComment ref="O12" dT="2025-11-13T17:04:31.00" personId="{8cadbcf0-d745-44de-b933-bd4ada8abb3a}" id="{e9ae4265-4d71-49e5-8ee8-cca1bfb62e0a}" done="0">
    <x18tc:text xml:space="preserve">Adm Polycarpo 4703271
Adm Jose 4709549</x18tc:text>
  </x18tc:threadedComment>
  <x18tc:threadedComment ref="N13" dT="2025-11-13T17:04:49.00" personId="{8cadbcf0-d745-44de-b933-bd4ada8abb3a}" id="{fd3c3352-cc26-4eb1-95af-3f9b6447a2f4}" done="0">
    <x18tc:text xml:space="preserve">óbito Polycarpo 4703271
Alta Jose 4709549</x18tc:text>
  </x18tc:threadedComment>
  <x18tc:threadedComment ref="F29" dT="2025-11-27T13:34:09.00" personId="{8cadbcf0-d745-44de-b933-bd4ada8abb3a}" id="{f930855c-db50-49a2-88e9-f9c5ac78d044}" done="0">
    <x18tc:text xml:space="preserve">Óbito Cleuza 4722279
Transferência p/ UTI C Luis 4689649</x18tc:text>
  </x18tc:threadedComment>
  <x18tc:threadedComment ref="G26" dT="2025-11-27T13:33:49.00" personId="{8cadbcf0-d745-44de-b933-bd4ada8abb3a}" id="{3223f3ef-5059-4922-a10d-98a2a1c17788}" done="0">
    <x18tc:text xml:space="preserve">Adm Cleuza 4722279</x18tc:text>
  </x18tc:threadedComment>
  <x18tc:threadedComment ref="B29" dT="2025-11-27T13:44:05.00" personId="{8cadbcf0-d745-44de-b933-bd4ada8abb3a}" id="{7f15cf24-5578-4ae6-8492-41d1c411cd52}" done="0">
    <x18tc:text xml:space="preserve">Transferência p/ UTI C Luis 4689649</x18tc:text>
  </x18tc:threadedComment>
  <x18tc:threadedComment ref="O29" dT="2025-11-27T13:44:50.00" personId="{8cadbcf0-d745-44de-b933-bd4ada8abb3a}" id="{bc5bfc9f-3448-4dbf-9618-1ce20c8c1e5a}" done="0">
    <x18tc:text xml:space="preserve">Adm Luis 4689649</x18tc:text>
  </x18tc:threadedComment>
  <x18tc:threadedComment ref="O33" dT="2025-12-05T15:59:48.00" personId="{8cadbcf0-d745-44de-b933-bd4ada8abb3a}" id="{f2ecf87a-db60-406e-9766-28e951f0f789}" done="0">
    <x18tc:text xml:space="preserve">Entrada e saída no mesmo dia Esidir 4726639</x18tc:text>
  </x18tc:threadedComment>
  <x18tc:threadedComment ref="S29" dT="2025-11-27T13:45:05.00" personId="{8cadbcf0-d745-44de-b933-bd4ada8abb3a}" id="{1ae7e1e5-c6f1-4bd2-b76b-ef3368704049}" done="0">
    <x18tc:text xml:space="preserve">Adm Luis 4689649</x18tc:text>
  </x18tc:threadedComment>
  <x18tc:threadedComment ref="C13" dT="2025-11-13T16:27:12.00" personId="{8cadbcf0-d745-44de-b933-bd4ada8abb3a}" id="{8dd42549-0c9d-48f8-b84b-099cc8d8c8e6}" done="0">
    <x18tc:text xml:space="preserve">Adm e alta no mesmo dia Edelson 4710692</x18tc:text>
  </x18tc:threadedComment>
  <x18tc:threadedComment ref="O4" dT="2025-11-05T17:26:52.00" personId="{8cadbcf0-d745-44de-b933-bd4ada8abb3a}" id="{2d140c4a-0c8a-482f-8215-9a25b5f0ce42}" done="0">
    <x18tc:text xml:space="preserve">Adm Damires 4703157</x18tc:text>
  </x18tc:threadedComment>
  <x18tc:threadedComment ref="S13" dT="2025-11-11T14:38:40.00" personId="{8cadbcf0-d745-44de-b933-bd4ada8abb3a}" id="{45242374-b105-41e9-9719-330dadfb521d}" done="0">
    <x18tc:text xml:space="preserve">Adm Antonio 4716993</x18tc:text>
  </x18tc:threadedComment>
  <x18tc:threadedComment ref="G14" dT="2025-11-17T16:19:41.00" personId="{8cadbcf0-d745-44de-b933-bd4ada8abb3a}" id="{c77e1220-878b-4fd7-8e8a-5833a06890df}" done="0">
    <x18tc:text xml:space="preserve">Adm Irene 4698256</x18tc:text>
  </x18tc:threadedComment>
  <x18tc:threadedComment ref="O16" dT="2025-11-17T16:21:06.00" personId="{8cadbcf0-d745-44de-b933-bd4ada8abb3a}" id="{e616bf95-3b0a-43b4-9dce-a5f72b971976}" done="0">
    <x18tc:text xml:space="preserve">Adm Irene 4718952
Adm Odete 4718952</x18tc:text>
  </x18tc:threadedComment>
  <x18tc:threadedComment ref="B7" dT="2025-11-04T17:24:02.00" personId="{8cadbcf0-d745-44de-b933-bd4ada8abb3a}" id="{f19a0e3e-c0f8-4865-bf24-335ade28fbe8}" done="0">
    <x18tc:text xml:space="preserve">óbito Marcelo 4658148</x18tc:text>
  </x18tc:threadedComment>
  <x18tc:threadedComment ref="B6" dT="2025-11-04T17:23:43.00" personId="{8cadbcf0-d745-44de-b933-bd4ada8abb3a}" id="{3413844b-4861-40e1-838d-5d82d0bf38b2}" done="0">
    <x18tc:text xml:space="preserve">Readmimssão Marcelo 4658148</x18tc:text>
  </x18tc:threadedComment>
  <x18tc:threadedComment ref="B9" dT="2025-11-07T18:48:14.00" personId="{8cadbcf0-d745-44de-b933-bd4ada8abb3a}" id="{1a5c1eba-104b-46c8-af2b-fdbbc28c9aef}" done="0">
    <x18tc:text xml:space="preserve">óbito Dominici 4677737</x18tc:text>
  </x18tc:threadedComment>
  <x18tc:threadedComment ref="E9" dT="2025-11-07T18:00:07.00" personId="{8cadbcf0-d745-44de-b933-bd4ada8abb3a}" id="{b52d72da-5590-4eb4-b975-dace0dac1733}" done="0">
    <x18tc:text xml:space="preserve">Adm Celio 4677737</x18tc:text>
  </x18tc:threadedComment>
  <x18tc:threadedComment ref="C7" dT="2025-11-07T18:47:57.00" personId="{8cadbcf0-d745-44de-b933-bd4ada8abb3a}" id="{4b611e19-2801-4b97-b603-e0ba2c339ce6}" done="0">
    <x18tc:text xml:space="preserve">Adm Dominici 4677737
Adm e óbito no mesmo dia Cristiane 4703555</x18tc:text>
  </x18tc:threadedComment>
  <x18tc:threadedComment ref="P9" dT="2025-11-07T17:59:33.00" personId="{8cadbcf0-d745-44de-b933-bd4ada8abb3a}" id="{1f4496a7-649d-47b5-be82-e214bd21e2a1}" done="0">
    <x18tc:text xml:space="preserve">Readmissão e Transferencia p/ UTI A no mesmo dia. Celio 4677737</x18tc:text>
  </x18tc:threadedComment>
  <x18tc:threadedComment ref="C5" dT="2025-11-07T18:45:02.00" personId="{8cadbcf0-d745-44de-b933-bd4ada8abb3a}" id="{a1124466-48af-443e-b936-a9450eb5360a}" done="0">
    <x18tc:text xml:space="preserve">Adm Luis 4689649
Adm Alexandra 4709483</x18tc:text>
  </x18tc:threadedComment>
  <x18tc:threadedComment ref="B10" dT="2025-11-07T18:54:09.00" personId="{8cadbcf0-d745-44de-b933-bd4ada8abb3a}" id="{6155673a-8b7f-468e-b148-42b9d46ffbb5}" done="0">
    <x18tc:text xml:space="preserve">Alta Alexandra 4709483</x18tc:text>
  </x18tc:threadedComment>
  <x18tc:threadedComment ref="D13" dT="2025-11-11T14:23:56.00" personId="{8cadbcf0-d745-44de-b933-bd4ada8abb3a}" id="{b1abe876-c467-4917-b65e-ff9ebd03c282}" done="0">
    <x18tc:text xml:space="preserve">Alta Eric 4684220</x18tc:text>
  </x18tc:threadedComment>
</x18tc:ThreadedComments>
</file>

<file path=xl/threadedComments/threadedComment1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6" dT="2025-12-04T15:56:03.00" personId="{8cadbcf0-d745-44de-b933-bd4ada8abb3a}" id="{6edf5cd9-b7ef-4f68-b90c-da1e49904ace}" done="0">
    <x18tc:text xml:space="preserve">Adm Gessira 4603356</x18tc:text>
  </x18tc:threadedComment>
  <x18tc:threadedComment ref="R5" dT="2025-12-04T16:00:35.00" personId="{8cadbcf0-d745-44de-b933-bd4ada8abb3a}" id="{ee3cc6b7-8a38-4dd8-abe5-4ce1ab153579}" done="0">
    <x18tc:text xml:space="preserve">óbito Idalice 4731161</x18tc:text>
  </x18tc:threadedComment>
  <x18tc:threadedComment ref="C26" dT="2025-12-29T12:33:50.00" personId="{8cadbcf0-d745-44de-b933-bd4ada8abb3a}" id="{d7fdcb2d-5806-4f1b-be0a-3bc98bda482a}" done="0">
    <x18tc:text xml:space="preserve">Adm Joao 4754109</x18tc:text>
  </x18tc:threadedComment>
  <x18tc:threadedComment ref="R27" dT="2025-12-29T13:04:23.00" personId="{8cadbcf0-d745-44de-b933-bd4ada8abb3a}" id="{8ef31dc7-6fb4-4d43-ba06-2565d5f88f7b}" done="0">
    <x18tc:text xml:space="preserve">Alta Orlando 4727887</x18tc:text>
  </x18tc:threadedComment>
  <x18tc:threadedComment ref="S13" dT="2025-12-29T12:58:08.00" personId="{8cadbcf0-d745-44de-b933-bd4ada8abb3a}" id="{abee299c-fa06-4026-bb73-b2274c5d6c03}" done="0">
    <x18tc:text xml:space="preserve">Adm Antonio 4716993</x18tc:text>
  </x18tc:threadedComment>
  <x18tc:threadedComment ref="B31" dT="2025-12-29T12:34:46.00" personId="{8cadbcf0-d745-44de-b933-bd4ada8abb3a}" id="{1d21b5a2-01c6-487f-b91e-4cfcef510257}" done="0">
    <x18tc:text xml:space="preserve">óbito Joao 4754109</x18tc:text>
  </x18tc:threadedComment>
  <x18tc:threadedComment ref="S26" dT="2025-12-24T12:29:55.00" personId="{8cadbcf0-d745-44de-b933-bd4ada8abb3a}" id="{93fa7e80-f5c9-4b8b-a3d5-ce47e54e9311}" done="0">
    <x18tc:text xml:space="preserve">Adm Orlando 4727887</x18tc:text>
  </x18tc:threadedComment>
  <x18tc:threadedComment ref="N27" dT="2025-12-29T13:55:57.00" personId="{8cadbcf0-d745-44de-b933-bd4ada8abb3a}" id="{524b5740-c93b-4db9-9d11-2ee538c710ad}" done="0">
    <x18tc:text xml:space="preserve">Alta Ednei 4744867
óbito Rosinaldo 4745352</x18tc:text>
  </x18tc:threadedComment>
  <x18tc:threadedComment ref="C24" dT="2025-12-24T12:44:07.00" personId="{8cadbcf0-d745-44de-b933-bd4ada8abb3a}" id="{412c5480-d964-40c3-a38a-cbf0e5451b29}" done="0">
    <x18tc:text xml:space="preserve">Adm Rosangela 4752609
Adm Luciana 4748045</x18tc:text>
  </x18tc:threadedComment>
  <x18tc:threadedComment ref="R30" dT="2025-12-29T16:57:57.00" personId="{8cadbcf0-d745-44de-b933-bd4ada8abb3a}" id="{0e9fcc5f-685c-4a13-b0ad-6ec874de0038}" done="0">
    <x18tc:text xml:space="preserve">Alta Ronaldo 4754763</x18tc:text>
  </x18tc:threadedComment>
  <x18tc:threadedComment ref="O24" dT="2025-12-24T15:31:25.00" personId="{8cadbcf0-d745-44de-b933-bd4ada8abb3a}" id="{99cefab6-7c5e-41f7-afa1-588d30ed1c20}" done="0">
    <x18tc:text xml:space="preserve">Adm Jose 4746760</x18tc:text>
  </x18tc:threadedComment>
  <x18tc:threadedComment ref="N25" dT="2025-12-24T15:31:36.00" personId="{8cadbcf0-d745-44de-b933-bd4ada8abb3a}" id="{4799a677-4eb6-434e-9f67-f887f128c3c6}" done="0">
    <x18tc:text xml:space="preserve">óbito Jose 4746760</x18tc:text>
  </x18tc:threadedComment>
  <x18tc:threadedComment ref="S29" dT="2025-12-29T16:57:41.00" personId="{8cadbcf0-d745-44de-b933-bd4ada8abb3a}" id="{7a42510b-2959-4633-aaae-d1adf30407d4}" done="0">
    <x18tc:text xml:space="preserve">Adm Ronaldo 4754763</x18tc:text>
  </x18tc:threadedComment>
  <x18tc:threadedComment ref="Q4" dT="2025-12-03T15:49:56.00" personId="{8cadbcf0-d745-44de-b933-bd4ada8abb3a}" id="{20bc89cc-c072-4baa-9fcb-b52e55008522}" done="0">
    <x18tc:text xml:space="preserve">Adm Idalice 4731161
Adm Luis 4716317</x18tc:text>
  </x18tc:threadedComment>
  <x18tc:threadedComment ref="N14" dT="2025-12-12T12:47:41.00" personId="{8cadbcf0-d745-44de-b933-bd4ada8abb3a}" id="{aa5097ce-3565-4b7b-b5fa-4be2b62dce98}" done="0">
    <x18tc:text xml:space="preserve">óbito Luis 4716317</x18tc:text>
  </x18tc:threadedComment>
  <x18tc:threadedComment ref="R13" dT="2025-12-11T13:40:27.00" personId="{8cadbcf0-d745-44de-b933-bd4ada8abb3a}" id="{ea7194de-4ab1-448f-94d8-995cbc43aed8}" done="0">
    <x18tc:text xml:space="preserve">Alta Erli 4713729</x18tc:text>
  </x18tc:threadedComment>
  <x18tc:threadedComment ref="B4" dT="2025-12-03T15:30:50.00" personId="{8cadbcf0-d745-44de-b933-bd4ada8abb3a}" id="{0c0d410f-d196-42ae-893f-5f987371b914}" done="0">
    <x18tc:text xml:space="preserve">Alta Daniel 4690541
Alta Zezito 4728082
Alta Josee 4666144</x18tc:text>
  </x18tc:threadedComment>
  <x18tc:threadedComment ref="C16" dT="2025-12-18T15:26:11.00" personId="{8cadbcf0-d745-44de-b933-bd4ada8abb3a}" id="{138ba5df-af8d-4c74-b866-35b0e82e6514}" done="0">
    <x18tc:text xml:space="preserve">Adm Ednei 4744867</x18tc:text>
  </x18tc:threadedComment>
  <x18tc:threadedComment ref="S4" dT="2025-12-03T16:17:35.00" personId="{8cadbcf0-d745-44de-b933-bd4ada8abb3a}" id="{74aa80a6-b29e-4b1b-9166-e208a40b8662}" done="0">
    <x18tc:text xml:space="preserve">Adm Erli 4713729
Adm Idalice 4731161</x18tc:text>
  </x18tc:threadedComment>
  <x18tc:threadedComment ref="N20" dT="2025-12-18T12:52:49.00" personId="{8cadbcf0-d745-44de-b933-bd4ada8abb3a}" id="{bbe6af84-9c5f-4674-b57e-c87e5819d700}" done="0">
    <x18tc:text xml:space="preserve">Alta Karine 4745300</x18tc:text>
  </x18tc:threadedComment>
  <x18tc:threadedComment ref="G4" dT="2025-12-03T16:16:49.00" personId="{8cadbcf0-d745-44de-b933-bd4ada8abb3a}" id="{ab1bfe38-c935-45da-8f77-77de80a997a9}" done="0">
    <x18tc:text xml:space="preserve">Adm Orlando 4727887</x18tc:text>
  </x18tc:threadedComment>
  <x18tc:threadedComment ref="E18" dT="2025-12-18T13:44:42.00" personId="{8cadbcf0-d745-44de-b933-bd4ada8abb3a}" id="{e6ada9ff-5e34-4f79-ab93-51da6b61b37b}" done="0">
    <x18tc:text xml:space="preserve">Adm Claudinei 4732120</x18tc:text>
  </x18tc:threadedComment>
  <x18tc:threadedComment ref="F19" dT="2025-12-17T14:52:20.00" personId="{8cadbcf0-d745-44de-b933-bd4ada8abb3a}" id="{b22fbc33-0d90-4851-a95d-e6adf8035f06}" done="0">
    <x18tc:text xml:space="preserve">Readmissão Gilberto 4743072</x18tc:text>
  </x18tc:threadedComment>
  <x18tc:threadedComment ref="R20" dT="2025-12-18T12:45:34.00" personId="{8cadbcf0-d745-44de-b933-bd4ada8abb3a}" id="{700581ab-6d8a-4115-8f5f-12385d1e288a}" done="0">
    <x18tc:text xml:space="preserve">óbito Luiz 4690501</x18tc:text>
  </x18tc:threadedComment>
  <x18tc:threadedComment ref="P5" dT="2025-12-03T15:50:12.00" personId="{8cadbcf0-d745-44de-b933-bd4ada8abb3a}" id="{550659a3-7526-4574-9da4-92412a39d201}" done="0">
    <x18tc:text xml:space="preserve">Óbito Idalice 4731161</x18tc:text>
  </x18tc:threadedComment>
  <x18tc:threadedComment ref="G18" dT="2025-12-17T14:51:21.00" personId="{8cadbcf0-d745-44de-b933-bd4ada8abb3a}" id="{27108536-7ab4-46bc-95f8-a3bbab58e608}" done="0">
    <x18tc:text xml:space="preserve">Adm e alta no mesmo dia Gilberto 4743072</x18tc:text>
  </x18tc:threadedComment>
  <x18tc:threadedComment ref="C18" dT="2025-12-16T13:46:04.00" personId="{8cadbcf0-d745-44de-b933-bd4ada8abb3a}" id="{001dc67d-acb4-4b24-8f94-bd2addddb620}" done="0">
    <x18tc:text xml:space="preserve">Joao 4747401 Adm e óbito (no mesmo dia)</x18tc:text>
  </x18tc:threadedComment>
  <x18tc:threadedComment ref="O18" dT="2025-12-18T13:39:53.00" personId="{8cadbcf0-d745-44de-b933-bd4ada8abb3a}" id="{b3142f27-fc4c-413d-a622-b0ff31217adc}" done="0">
    <x18tc:text xml:space="preserve">Adm Rosinaldo 4745352</x18tc:text>
  </x18tc:threadedComment>
  <x18tc:threadedComment ref="C28" dT="2025-12-29T11:24:50.00" personId="{8cadbcf0-d745-44de-b933-bd4ada8abb3a}" id="{f13d119e-38eb-43f8-b588-77f9ef6295cd}" done="0">
    <x18tc:text xml:space="preserve">Adm Andre 4746395</x18tc:text>
  </x18tc:threadedComment>
  <x18tc:threadedComment ref="D30" dT="2025-12-29T11:24:19.00" personId="{8cadbcf0-d745-44de-b933-bd4ada8abb3a}" id="{99b56484-686e-4b61-9b5c-b177448eba86}" done="0">
    <x18tc:text xml:space="preserve">óbito Andre 4746395</x18tc:text>
  </x18tc:threadedComment>
  <x18tc:threadedComment ref="E28" dT="2025-12-29T11:23:58.00" personId="{8cadbcf0-d745-44de-b933-bd4ada8abb3a}" id="{d437637d-f19f-469c-9803-9f76533082a9}" done="0">
    <x18tc:text xml:space="preserve">Adm Andre 4746395
Adm Rosely 4750315</x18tc:text>
  </x18tc:threadedComment>
  <x18tc:threadedComment ref="B28" dT="2025-12-29T11:32:18.00" personId="{8cadbcf0-d745-44de-b933-bd4ada8abb3a}" id="{7fbaa7c0-10ce-400f-80c7-ba06ecd943b8}" done="0">
    <x18tc:text xml:space="preserve">Alta Luciana 4748045</x18tc:text>
  </x18tc:threadedComment>
  <x18tc:threadedComment ref="B30" dT="2025-12-29T11:25:08.00" personId="{8cadbcf0-d745-44de-b933-bd4ada8abb3a}" id="{a5e5cc41-a3c8-4391-a60a-db4f52b026d8}" done="0">
    <x18tc:text xml:space="preserve">óbito Andre 4746395</x18tc:text>
  </x18tc:threadedComment>
  <x18tc:threadedComment ref="G23" dT="2025-12-22T13:08:58.00" personId="{8cadbcf0-d745-44de-b933-bd4ada8abb3a}" id="{3c5f2cec-933e-4e85-90cf-0efd13e4f92d}" done="0">
    <x18tc:text xml:space="preserve">Adm Jose 4743051</x18tc:text>
  </x18tc:threadedComment>
  <x18tc:threadedComment ref="P14" dT="2025-12-12T12:46:58.00" personId="{8cadbcf0-d745-44de-b933-bd4ada8abb3a}" id="{d9647b1e-d4d7-4775-9543-9f2ba981139c}" done="0">
    <x18tc:text xml:space="preserve">óbito Luis 4716317</x18tc:text>
  </x18tc:threadedComment>
  <x18tc:threadedComment ref="O26" dT="2025-12-23T12:46:00.00" personId="{8cadbcf0-d745-44de-b933-bd4ada8abb3a}" id="{93aa32e0-cce7-4ef7-a828-2e8b9ccb5757}" done="0">
    <x18tc:text xml:space="preserve">Adm Ednei 4744867</x18tc:text>
  </x18tc:threadedComment>
  <x18tc:threadedComment ref="D34" dT="2026-01-05T15:49:04.00" personId="{8cadbcf0-d745-44de-b933-bd4ada8abb3a}" id="{adb0708c-9ead-4280-b9bf-638f4f4a2f7d}" done="0">
    <x18tc:text xml:space="preserve">óbito Rosely 4750315</x18tc:text>
  </x18tc:threadedComment>
  <x18tc:threadedComment ref="B25" dT="2025-12-23T12:32:43.00" personId="{8cadbcf0-d745-44de-b933-bd4ada8abb3a}" id="{2c829dc8-7839-4e27-aa4e-ab69ca1810b4}" done="0">
    <x18tc:text xml:space="preserve">Alta Ednei 4744867</x18tc:text>
  </x18tc:threadedComment>
  <x18tc:threadedComment ref="D25" dT="2025-12-23T12:21:14.00" personId="{8cadbcf0-d745-44de-b933-bd4ada8abb3a}" id="{f7e3c2a3-5c66-4acc-bb79-811e7cdba5b7}" done="0">
    <x18tc:text xml:space="preserve">Alta Claudinei 4732120</x18tc:text>
  </x18tc:threadedComment>
  <x18tc:threadedComment ref="S25" dT="2025-12-29T14:05:46.00" personId="{8cadbcf0-d745-44de-b933-bd4ada8abb3a}" id="{c6e614e2-a0e8-4aa0-8eab-ce9cf6af8fc0}" done="0">
    <x18tc:text xml:space="preserve">Adm e alta no mesmo dia Jefferson 4745274</x18tc:text>
  </x18tc:threadedComment>
  <x18tc:threadedComment ref="F16" dT="2025-12-15T13:50:09.00" personId="{8cadbcf0-d745-44de-b933-bd4ada8abb3a}" id="{cff55760-873a-4b24-ab34-6808576f533e}" done="0">
    <x18tc:text xml:space="preserve">Alta Adriana 4728132</x18tc:text>
  </x18tc:threadedComment>
  <x18tc:threadedComment ref="B16" dT="2025-12-15T13:50:55.00" personId="{8cadbcf0-d745-44de-b933-bd4ada8abb3a}" id="{a617156a-04b9-4c88-a358-a6479ecba600}" done="0">
    <x18tc:text xml:space="preserve">Alta Adriana 4728132</x18tc:text>
  </x18tc:threadedComment>
  <x18tc:threadedComment ref="S11" dT="2025-12-10T15:25:41.00" personId="{8cadbcf0-d745-44de-b933-bd4ada8abb3a}" id="{db038aa9-d40a-4bd8-a0de-c12856f67bd1}" done="0">
    <x18tc:text xml:space="preserve">Adm Antonia 4727014</x18tc:text>
  </x18tc:threadedComment>
  <x18tc:threadedComment ref="B15" dT="2025-12-15T13:50:51.00" personId="{8cadbcf0-d745-44de-b933-bd4ada8abb3a}" id="{90a05d10-e9cb-4a8e-a1fd-a7b00c0f1715}" done="0">
    <x18tc:text xml:space="preserve">Readmissão Adriana 4728132</x18tc:text>
  </x18tc:threadedComment>
  <x18tc:threadedComment ref="R12" dT="2025-12-10T15:16:23.00" personId="{8cadbcf0-d745-44de-b933-bd4ada8abb3a}" id="{1165fac4-f1f1-44c0-9989-e9bbd31cc95c}" done="0">
    <x18tc:text xml:space="preserve">Alta Luis 4689649</x18tc:text>
  </x18tc:threadedComment>
  <x18tc:threadedComment ref="G11" dT="2025-12-10T15:24:56.00" personId="{8cadbcf0-d745-44de-b933-bd4ada8abb3a}" id="{a55b5f8f-148c-40e0-b5ad-6fea26987129}" done="0">
    <x18tc:text xml:space="preserve">Adm Iraci 4736977</x18tc:text>
  </x18tc:threadedComment>
  <x18tc:threadedComment ref="N12" dT="2025-12-10T15:15:55.00" personId="{8cadbcf0-d745-44de-b933-bd4ada8abb3a}" id="{f62cddee-1006-4308-a292-51b5b479adbd}" done="0">
    <x18tc:text xml:space="preserve">Alta Luis 4689649</x18tc:text>
  </x18tc:threadedComment>
  <x18tc:threadedComment ref="P12" dT="2025-12-10T15:16:15.00" personId="{8cadbcf0-d745-44de-b933-bd4ada8abb3a}" id="{2ef784e5-7bc9-47f5-8a99-baba0b5a4d7f}" done="0">
    <x18tc:text xml:space="preserve">Alta Luis 4689649</x18tc:text>
  </x18tc:threadedComment>
  <x18tc:threadedComment ref="G15" dT="2025-12-15T13:49:55.00" personId="{8cadbcf0-d745-44de-b933-bd4ada8abb3a}" id="{a6924374-736f-49ad-aaf7-42d8731e23e6}" done="0">
    <x18tc:text xml:space="preserve">Adm Adriana 4728132</x18tc:text>
  </x18tc:threadedComment>
  <x18tc:threadedComment ref="S32" dT="2026-01-05T16:03:01.00" personId="{8cadbcf0-d745-44de-b933-bd4ada8abb3a}" id="{af8270d6-767c-4b64-9fa9-59b846ecdcac}" done="0">
    <x18tc:text xml:space="preserve">Adm Marcio 4750239</x18tc:text>
  </x18tc:threadedComment>
  <x18tc:threadedComment ref="R33" dT="2026-01-05T16:03:22.00" personId="{8cadbcf0-d745-44de-b933-bd4ada8abb3a}" id="{11007743-7bfb-423b-ac7e-a97702a3ba07}" done="0">
    <x18tc:text xml:space="preserve">óbito Marcio 4750239</x18tc:text>
  </x18tc:threadedComment>
  <x18tc:threadedComment ref="C11" dT="2025-12-10T15:11:26.00" personId="{8cadbcf0-d745-44de-b933-bd4ada8abb3a}" id="{55400f17-5e69-4d97-975a-cb3a112f30ce}" done="0">
    <x18tc:text xml:space="preserve">Adm Adriana 4728132</x18tc:text>
  </x18tc:threadedComment>
  <x18tc:threadedComment ref="B12" dT="2025-12-10T15:11:56.00" personId="{8cadbcf0-d745-44de-b933-bd4ada8abb3a}" id="{e949fba0-044c-4162-a142-0929e6c68bca}" done="0">
    <x18tc:text xml:space="preserve">Alta Adriana 474112</x18tc:text>
  </x18tc:threadedComment>
  <x18tc:threadedComment ref="F17" dT="2025-12-15T13:52:25.00" personId="{8cadbcf0-d745-44de-b933-bd4ada8abb3a}" id="{a2797f14-449c-4775-a9ed-1ac5c44a3dfe}" done="0">
    <x18tc:text xml:space="preserve">Alta Iraci 4736977</x18tc:text>
  </x18tc:threadedComment>
  <x18tc:threadedComment ref="R17" dT="2025-12-15T14:02:57.00" personId="{8cadbcf0-d745-44de-b933-bd4ada8abb3a}" id="{60eda6ea-6205-480b-b4b7-676d45e1d05c}" done="0">
    <x18tc:text xml:space="preserve">Alta Antonia 4727014</x18tc:text>
  </x18tc:threadedComment>
  <x18tc:threadedComment ref="F7" dT="2025-12-05T14:16:01.00" personId="{8cadbcf0-d745-44de-b933-bd4ada8abb3a}" id="{5e2a057d-3f56-4eae-9b17-0de98227ba46}" done="0">
    <x18tc:text xml:space="preserve">Alta Gessira 4603356</x18tc:text>
  </x18tc:threadedComment>
  <x18tc:threadedComment ref="F26" dT="2025-12-24T12:29:38.00" personId="{8cadbcf0-d745-44de-b933-bd4ada8abb3a}" id="{2c21b3f5-84fa-4595-ad15-5196e2079eb9}" done="0">
    <x18tc:text xml:space="preserve">Transferencia p/ UTI C Orlando 4727887</x18tc:text>
  </x18tc:threadedComment>
  <x18tc:threadedComment ref="O16" dT="2025-12-17T17:05:03.00" personId="{8cadbcf0-d745-44de-b933-bd4ada8abb3a}" id="{3efdea33-0f17-4f3d-b92c-f40fe1a6fbb1}" done="0">
    <x18tc:text xml:space="preserve">Adm Karine 4745300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0.xml"/><Relationship Id="rId5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microsoft.com/office/2017/10/relationships/threadedComment" Target="../threadedComments/threadedComment11.xml"/><Relationship Id="rId3" Type="http://schemas.microsoft.com/office/2019/04/relationships/documenttask" Target="../documenttasks/documenttask11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microsoft.com/office/2017/10/relationships/threadedComment" Target="../threadedComments/threadedComment12.xml"/><Relationship Id="rId3" Type="http://schemas.microsoft.com/office/2019/04/relationships/documenttask" Target="../documenttasks/documenttask12.xml"/><Relationship Id="rId4" Type="http://schemas.openxmlformats.org/officeDocument/2006/relationships/drawing" Target="../drawings/drawing12.xml"/><Relationship Id="rId5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0.56"/>
    <col customWidth="1" min="11" max="29" width="10.44"/>
    <col customWidth="1" min="30" max="34" width="11.11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0">
        <v>1.0</v>
      </c>
      <c r="B4" s="11"/>
      <c r="C4" s="12"/>
      <c r="D4" s="13">
        <v>1.0</v>
      </c>
      <c r="E4" s="12"/>
      <c r="F4" s="13"/>
      <c r="G4" s="12"/>
      <c r="H4" s="12"/>
      <c r="I4" s="12"/>
      <c r="J4" s="14"/>
      <c r="M4" s="10">
        <v>1.0</v>
      </c>
      <c r="N4" s="13"/>
      <c r="O4" s="12"/>
      <c r="P4" s="13"/>
      <c r="Q4" s="12"/>
      <c r="R4" s="13"/>
      <c r="S4" s="12"/>
      <c r="T4" s="12"/>
      <c r="U4" s="12"/>
      <c r="V4" s="15"/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17"/>
    </row>
    <row r="5" ht="15.75" customHeight="1">
      <c r="A5" s="18">
        <v>2.0</v>
      </c>
      <c r="B5" s="11"/>
      <c r="C5" s="19"/>
      <c r="D5" s="20">
        <v>1.0</v>
      </c>
      <c r="E5" s="19"/>
      <c r="F5" s="20"/>
      <c r="G5" s="19"/>
      <c r="H5" s="19"/>
      <c r="I5" s="19"/>
      <c r="J5" s="14"/>
      <c r="M5" s="18">
        <v>2.0</v>
      </c>
      <c r="N5" s="13"/>
      <c r="O5" s="19"/>
      <c r="P5" s="20"/>
      <c r="Q5" s="19"/>
      <c r="R5" s="13"/>
      <c r="S5" s="19"/>
      <c r="T5" s="19"/>
      <c r="U5" s="19"/>
      <c r="V5" s="21"/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18"/>
    </row>
    <row r="6" ht="15.75" customHeight="1">
      <c r="A6" s="18">
        <v>3.0</v>
      </c>
      <c r="B6" s="11"/>
      <c r="C6" s="19"/>
      <c r="D6" s="20"/>
      <c r="E6" s="19"/>
      <c r="F6" s="20"/>
      <c r="G6" s="19"/>
      <c r="H6" s="19"/>
      <c r="I6" s="19"/>
      <c r="J6" s="14"/>
      <c r="M6" s="18">
        <v>3.0</v>
      </c>
      <c r="N6" s="13"/>
      <c r="O6" s="19"/>
      <c r="P6" s="20">
        <v>1.0</v>
      </c>
      <c r="Q6" s="19"/>
      <c r="R6" s="13"/>
      <c r="S6" s="19"/>
      <c r="T6" s="19"/>
      <c r="U6" s="19"/>
      <c r="V6" s="21"/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18"/>
    </row>
    <row r="7" ht="15.75" customHeight="1">
      <c r="A7" s="18">
        <v>4.0</v>
      </c>
      <c r="B7" s="11"/>
      <c r="C7" s="19"/>
      <c r="D7" s="20"/>
      <c r="E7" s="19"/>
      <c r="F7" s="20"/>
      <c r="G7" s="19"/>
      <c r="H7" s="19"/>
      <c r="I7" s="19"/>
      <c r="J7" s="14"/>
      <c r="M7" s="18">
        <v>4.0</v>
      </c>
      <c r="N7" s="13"/>
      <c r="O7" s="19"/>
      <c r="P7" s="20">
        <v>1.0</v>
      </c>
      <c r="Q7" s="19"/>
      <c r="R7" s="13"/>
      <c r="S7" s="19"/>
      <c r="T7" s="19"/>
      <c r="U7" s="19"/>
      <c r="V7" s="21"/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18"/>
    </row>
    <row r="8" ht="15.75" customHeight="1">
      <c r="A8" s="18">
        <v>5.0</v>
      </c>
      <c r="B8" s="11"/>
      <c r="C8" s="21"/>
      <c r="D8" s="20"/>
      <c r="E8" s="19"/>
      <c r="F8" s="20"/>
      <c r="G8" s="19"/>
      <c r="H8" s="19"/>
      <c r="I8" s="19"/>
      <c r="J8" s="14"/>
      <c r="M8" s="18">
        <v>5.0</v>
      </c>
      <c r="N8" s="13"/>
      <c r="O8" s="19"/>
      <c r="P8" s="22">
        <v>1.0</v>
      </c>
      <c r="Q8" s="19"/>
      <c r="R8" s="13"/>
      <c r="S8" s="19"/>
      <c r="T8" s="19"/>
      <c r="U8" s="19"/>
      <c r="V8" s="21"/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18"/>
    </row>
    <row r="9" ht="15.75" customHeight="1">
      <c r="A9" s="18">
        <v>6.0</v>
      </c>
      <c r="B9" s="11"/>
      <c r="C9" s="19"/>
      <c r="D9" s="20"/>
      <c r="E9" s="20"/>
      <c r="F9" s="20"/>
      <c r="G9" s="20"/>
      <c r="H9" s="19"/>
      <c r="I9" s="19"/>
      <c r="J9" s="14"/>
      <c r="M9" s="18">
        <v>6.0</v>
      </c>
      <c r="N9" s="13"/>
      <c r="O9" s="19"/>
      <c r="P9" s="22">
        <v>1.0</v>
      </c>
      <c r="Q9" s="19"/>
      <c r="R9" s="13"/>
      <c r="S9" s="19"/>
      <c r="T9" s="19"/>
      <c r="U9" s="19"/>
      <c r="V9" s="21"/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18"/>
    </row>
    <row r="10" ht="15.75" customHeight="1">
      <c r="A10" s="18">
        <v>7.0</v>
      </c>
      <c r="B10" s="11"/>
      <c r="C10" s="19"/>
      <c r="D10" s="20"/>
      <c r="E10" s="19"/>
      <c r="F10" s="20"/>
      <c r="G10" s="19"/>
      <c r="H10" s="19"/>
      <c r="I10" s="19"/>
      <c r="J10" s="14"/>
      <c r="M10" s="18">
        <v>7.0</v>
      </c>
      <c r="N10" s="13"/>
      <c r="O10" s="19"/>
      <c r="P10" s="22">
        <v>1.0</v>
      </c>
      <c r="Q10" s="19"/>
      <c r="R10" s="13"/>
      <c r="S10" s="19"/>
      <c r="T10" s="19"/>
      <c r="U10" s="19"/>
      <c r="V10" s="21"/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18"/>
    </row>
    <row r="11" ht="15.75" customHeight="1">
      <c r="A11" s="18">
        <v>8.0</v>
      </c>
      <c r="B11" s="11"/>
      <c r="C11" s="19"/>
      <c r="D11" s="20"/>
      <c r="E11" s="19"/>
      <c r="F11" s="20"/>
      <c r="G11" s="19"/>
      <c r="H11" s="19"/>
      <c r="I11" s="19"/>
      <c r="J11" s="14"/>
      <c r="M11" s="18">
        <v>8.0</v>
      </c>
      <c r="N11" s="13"/>
      <c r="O11" s="19"/>
      <c r="P11" s="20">
        <v>1.0</v>
      </c>
      <c r="Q11" s="19"/>
      <c r="R11" s="13"/>
      <c r="S11" s="19"/>
      <c r="T11" s="19"/>
      <c r="U11" s="19"/>
      <c r="V11" s="21"/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18"/>
    </row>
    <row r="12" ht="15.75" customHeight="1">
      <c r="A12" s="18">
        <v>9.0</v>
      </c>
      <c r="B12" s="11"/>
      <c r="C12" s="21"/>
      <c r="D12" s="20"/>
      <c r="E12" s="21"/>
      <c r="F12" s="20"/>
      <c r="G12" s="19"/>
      <c r="H12" s="19"/>
      <c r="I12" s="19"/>
      <c r="J12" s="14"/>
      <c r="M12" s="18">
        <v>9.0</v>
      </c>
      <c r="N12" s="13"/>
      <c r="O12" s="19"/>
      <c r="P12" s="20">
        <v>1.0</v>
      </c>
      <c r="Q12" s="19"/>
      <c r="R12" s="13"/>
      <c r="S12" s="19"/>
      <c r="T12" s="19"/>
      <c r="U12" s="19"/>
      <c r="V12" s="21"/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18"/>
    </row>
    <row r="13" ht="13.5" customHeight="1">
      <c r="A13" s="18">
        <v>10.0</v>
      </c>
      <c r="B13" s="11"/>
      <c r="C13" s="19"/>
      <c r="D13" s="22">
        <v>1.0</v>
      </c>
      <c r="E13" s="20">
        <v>1.0</v>
      </c>
      <c r="F13" s="20"/>
      <c r="G13" s="19"/>
      <c r="H13" s="19"/>
      <c r="I13" s="19"/>
      <c r="J13" s="14"/>
      <c r="M13" s="18">
        <v>10.0</v>
      </c>
      <c r="N13" s="13"/>
      <c r="O13" s="19"/>
      <c r="P13" s="20">
        <v>1.0</v>
      </c>
      <c r="Q13" s="19"/>
      <c r="R13" s="13"/>
      <c r="S13" s="19"/>
      <c r="T13" s="19"/>
      <c r="U13" s="19"/>
      <c r="V13" s="21"/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18"/>
    </row>
    <row r="14" ht="15.75" customHeight="1">
      <c r="A14" s="18">
        <v>11.0</v>
      </c>
      <c r="B14" s="11"/>
      <c r="C14" s="21"/>
      <c r="D14" s="22">
        <v>1.0</v>
      </c>
      <c r="E14" s="20"/>
      <c r="F14" s="20"/>
      <c r="G14" s="19"/>
      <c r="H14" s="19"/>
      <c r="I14" s="19"/>
      <c r="J14" s="14"/>
      <c r="M14" s="18">
        <v>11.0</v>
      </c>
      <c r="N14" s="13"/>
      <c r="O14" s="19"/>
      <c r="P14" s="20">
        <v>1.0</v>
      </c>
      <c r="Q14" s="19"/>
      <c r="R14" s="13"/>
      <c r="S14" s="19"/>
      <c r="T14" s="19"/>
      <c r="U14" s="19"/>
      <c r="V14" s="21"/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18"/>
    </row>
    <row r="15" ht="15.75" customHeight="1">
      <c r="A15" s="18">
        <v>12.0</v>
      </c>
      <c r="B15" s="11"/>
      <c r="C15" s="19"/>
      <c r="D15" s="22">
        <v>1.0</v>
      </c>
      <c r="E15" s="19"/>
      <c r="F15" s="20"/>
      <c r="G15" s="19"/>
      <c r="H15" s="19"/>
      <c r="I15" s="19"/>
      <c r="J15" s="14"/>
      <c r="M15" s="18">
        <v>12.0</v>
      </c>
      <c r="N15" s="13"/>
      <c r="O15" s="19"/>
      <c r="P15" s="20">
        <v>1.0</v>
      </c>
      <c r="Q15" s="19"/>
      <c r="R15" s="13"/>
      <c r="S15" s="19"/>
      <c r="T15" s="19"/>
      <c r="U15" s="19"/>
      <c r="V15" s="21"/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18"/>
    </row>
    <row r="16" ht="15.75" customHeight="1">
      <c r="A16" s="18">
        <v>13.0</v>
      </c>
      <c r="B16" s="11">
        <v>1.0</v>
      </c>
      <c r="C16" s="20">
        <v>1.0</v>
      </c>
      <c r="D16" s="22">
        <v>2.0</v>
      </c>
      <c r="E16" s="20">
        <v>1.0</v>
      </c>
      <c r="F16" s="20"/>
      <c r="G16" s="19"/>
      <c r="H16" s="19"/>
      <c r="I16" s="19"/>
      <c r="J16" s="14"/>
      <c r="M16" s="18">
        <v>13.0</v>
      </c>
      <c r="N16" s="13"/>
      <c r="O16" s="19"/>
      <c r="P16" s="20">
        <v>2.0</v>
      </c>
      <c r="Q16" s="20">
        <v>1.0</v>
      </c>
      <c r="R16" s="13"/>
      <c r="S16" s="19"/>
      <c r="T16" s="19"/>
      <c r="U16" s="19"/>
      <c r="V16" s="21"/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18"/>
    </row>
    <row r="17" ht="15.75" customHeight="1">
      <c r="A17" s="18">
        <v>14.0</v>
      </c>
      <c r="B17" s="11">
        <v>2.0</v>
      </c>
      <c r="C17" s="20">
        <v>1.0</v>
      </c>
      <c r="D17" s="22">
        <v>2.0</v>
      </c>
      <c r="E17" s="19"/>
      <c r="F17" s="20"/>
      <c r="G17" s="19"/>
      <c r="H17" s="19"/>
      <c r="I17" s="19"/>
      <c r="J17" s="14"/>
      <c r="M17" s="18">
        <v>14.0</v>
      </c>
      <c r="N17" s="13"/>
      <c r="O17" s="21"/>
      <c r="P17" s="20">
        <v>2.0</v>
      </c>
      <c r="Q17" s="19"/>
      <c r="R17" s="13"/>
      <c r="S17" s="19"/>
      <c r="T17" s="19"/>
      <c r="U17" s="19"/>
      <c r="V17" s="21"/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18"/>
    </row>
    <row r="18" ht="15.75" customHeight="1">
      <c r="A18" s="18">
        <v>15.0</v>
      </c>
      <c r="B18" s="11">
        <v>3.0</v>
      </c>
      <c r="C18" s="19"/>
      <c r="D18" s="22">
        <v>2.0</v>
      </c>
      <c r="E18" s="19"/>
      <c r="F18" s="20"/>
      <c r="G18" s="19"/>
      <c r="H18" s="19"/>
      <c r="I18" s="19"/>
      <c r="J18" s="14"/>
      <c r="M18" s="18">
        <v>15.0</v>
      </c>
      <c r="N18" s="13"/>
      <c r="O18" s="19"/>
      <c r="P18" s="20">
        <v>2.0</v>
      </c>
      <c r="Q18" s="19"/>
      <c r="R18" s="13"/>
      <c r="S18" s="19"/>
      <c r="T18" s="19"/>
      <c r="U18" s="19"/>
      <c r="V18" s="21"/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18"/>
    </row>
    <row r="19" ht="15.75" customHeight="1">
      <c r="A19" s="18">
        <v>16.0</v>
      </c>
      <c r="B19" s="11">
        <v>3.0</v>
      </c>
      <c r="C19" s="19"/>
      <c r="D19" s="22">
        <v>2.0</v>
      </c>
      <c r="E19" s="20"/>
      <c r="F19" s="19"/>
      <c r="G19" s="19"/>
      <c r="H19" s="19"/>
      <c r="I19" s="19"/>
      <c r="J19" s="14"/>
      <c r="M19" s="18">
        <v>16.0</v>
      </c>
      <c r="N19" s="13"/>
      <c r="O19" s="19"/>
      <c r="P19" s="20">
        <v>2.0</v>
      </c>
      <c r="Q19" s="19"/>
      <c r="R19" s="19"/>
      <c r="S19" s="19"/>
      <c r="T19" s="19"/>
      <c r="U19" s="19"/>
      <c r="V19" s="21"/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16"/>
    </row>
    <row r="20" ht="15.75" customHeight="1">
      <c r="A20" s="16">
        <v>17.0</v>
      </c>
      <c r="B20" s="11">
        <v>3.0</v>
      </c>
      <c r="C20" s="16"/>
      <c r="D20" s="22">
        <v>2.0</v>
      </c>
      <c r="E20" s="16"/>
      <c r="F20" s="16"/>
      <c r="G20" s="16"/>
      <c r="H20" s="16"/>
      <c r="I20" s="16"/>
      <c r="J20" s="14"/>
      <c r="M20" s="16">
        <v>17.0</v>
      </c>
      <c r="N20" s="13"/>
      <c r="O20" s="16"/>
      <c r="P20" s="23">
        <v>2.0</v>
      </c>
      <c r="Q20" s="16"/>
      <c r="R20" s="16"/>
      <c r="S20" s="16"/>
      <c r="T20" s="16"/>
      <c r="U20" s="16"/>
      <c r="V20" s="16"/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16"/>
    </row>
    <row r="21" ht="15.75" customHeight="1">
      <c r="A21" s="16">
        <v>18.0</v>
      </c>
      <c r="B21" s="11">
        <v>2.0</v>
      </c>
      <c r="C21" s="16"/>
      <c r="D21" s="22">
        <v>3.0</v>
      </c>
      <c r="E21" s="23">
        <v>1.0</v>
      </c>
      <c r="F21" s="16"/>
      <c r="G21" s="16"/>
      <c r="H21" s="16"/>
      <c r="I21" s="16"/>
      <c r="J21" s="14"/>
      <c r="M21" s="16">
        <v>18.0</v>
      </c>
      <c r="N21" s="16"/>
      <c r="O21" s="16"/>
      <c r="P21" s="23">
        <v>2.0</v>
      </c>
      <c r="Q21" s="16"/>
      <c r="R21" s="16"/>
      <c r="S21" s="16"/>
      <c r="T21" s="16"/>
      <c r="U21" s="16"/>
      <c r="V21" s="16"/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16"/>
    </row>
    <row r="22" ht="15.75" customHeight="1">
      <c r="A22" s="16">
        <v>19.0</v>
      </c>
      <c r="B22" s="11">
        <v>2.0</v>
      </c>
      <c r="C22" s="16"/>
      <c r="D22" s="22">
        <v>3.0</v>
      </c>
      <c r="E22" s="16"/>
      <c r="F22" s="16"/>
      <c r="G22" s="23"/>
      <c r="H22" s="16"/>
      <c r="I22" s="16"/>
      <c r="J22" s="14"/>
      <c r="M22" s="16">
        <v>19.0</v>
      </c>
      <c r="N22" s="16"/>
      <c r="O22" s="16"/>
      <c r="P22" s="23">
        <v>2.0</v>
      </c>
      <c r="Q22" s="16"/>
      <c r="R22" s="16"/>
      <c r="S22" s="16"/>
      <c r="T22" s="16"/>
      <c r="U22" s="16"/>
      <c r="V22" s="16"/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16"/>
    </row>
    <row r="23" ht="15.75" customHeight="1">
      <c r="A23" s="16">
        <v>20.0</v>
      </c>
      <c r="B23" s="23">
        <v>5.0</v>
      </c>
      <c r="C23" s="23">
        <v>3.0</v>
      </c>
      <c r="D23" s="22">
        <v>3.0</v>
      </c>
      <c r="E23" s="16"/>
      <c r="F23" s="23">
        <v>1.0</v>
      </c>
      <c r="G23" s="23">
        <v>1.0</v>
      </c>
      <c r="H23" s="16"/>
      <c r="I23" s="16"/>
      <c r="J23" s="14"/>
      <c r="M23" s="16">
        <v>20.0</v>
      </c>
      <c r="N23" s="16"/>
      <c r="O23" s="16"/>
      <c r="P23" s="23">
        <v>2.0</v>
      </c>
      <c r="Q23" s="16"/>
      <c r="R23" s="16"/>
      <c r="S23" s="16"/>
      <c r="T23" s="16"/>
      <c r="U23" s="16"/>
      <c r="V23" s="16"/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16"/>
    </row>
    <row r="24" ht="15.75" customHeight="1">
      <c r="A24" s="16">
        <v>21.0</v>
      </c>
      <c r="B24" s="23">
        <v>5.0</v>
      </c>
      <c r="C24" s="23"/>
      <c r="D24" s="22">
        <v>3.0</v>
      </c>
      <c r="E24" s="16"/>
      <c r="F24" s="23">
        <v>1.0</v>
      </c>
      <c r="G24" s="23"/>
      <c r="H24" s="16"/>
      <c r="I24" s="16"/>
      <c r="J24" s="14"/>
      <c r="M24" s="16">
        <v>21.0</v>
      </c>
      <c r="N24" s="16"/>
      <c r="O24" s="16"/>
      <c r="P24" s="23">
        <v>1.0</v>
      </c>
      <c r="Q24" s="16"/>
      <c r="R24" s="16"/>
      <c r="S24" s="16"/>
      <c r="T24" s="16"/>
      <c r="U24" s="16"/>
      <c r="V24" s="16"/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16"/>
    </row>
    <row r="25" ht="15.75" customHeight="1">
      <c r="A25" s="24">
        <v>22.0</v>
      </c>
      <c r="B25" s="23">
        <v>5.0</v>
      </c>
      <c r="C25" s="25"/>
      <c r="D25" s="22">
        <v>3.0</v>
      </c>
      <c r="E25" s="24"/>
      <c r="F25" s="23">
        <v>1.0</v>
      </c>
      <c r="G25" s="25"/>
      <c r="H25" s="24"/>
      <c r="I25" s="24"/>
      <c r="J25" s="14"/>
      <c r="K25" s="26"/>
      <c r="L25" s="26"/>
      <c r="M25" s="24">
        <v>22.0</v>
      </c>
      <c r="N25" s="25">
        <v>1.0</v>
      </c>
      <c r="O25" s="24"/>
      <c r="P25" s="25">
        <v>3.0</v>
      </c>
      <c r="Q25" s="25">
        <v>2.0</v>
      </c>
      <c r="R25" s="24"/>
      <c r="S25" s="24"/>
      <c r="T25" s="24"/>
      <c r="U25" s="24"/>
      <c r="V25" s="24"/>
      <c r="W25" s="26"/>
      <c r="X25" s="26"/>
      <c r="Y25" s="24">
        <v>22.0</v>
      </c>
      <c r="Z25" s="24"/>
      <c r="AA25" s="24"/>
      <c r="AB25" s="24"/>
      <c r="AC25" s="24"/>
      <c r="AD25" s="24"/>
      <c r="AE25" s="24"/>
      <c r="AF25" s="24"/>
      <c r="AG25" s="24"/>
      <c r="AH25" s="24"/>
    </row>
    <row r="26" ht="15.75" customHeight="1">
      <c r="A26" s="16">
        <v>23.0</v>
      </c>
      <c r="B26" s="23">
        <v>5.0</v>
      </c>
      <c r="C26" s="23"/>
      <c r="D26" s="22">
        <v>3.0</v>
      </c>
      <c r="E26" s="16"/>
      <c r="F26" s="23">
        <v>1.0</v>
      </c>
      <c r="G26" s="23"/>
      <c r="H26" s="16"/>
      <c r="I26" s="16"/>
      <c r="J26" s="14"/>
      <c r="M26" s="16">
        <v>23.0</v>
      </c>
      <c r="N26" s="23">
        <v>1.0</v>
      </c>
      <c r="O26" s="16"/>
      <c r="P26" s="23">
        <v>3.0</v>
      </c>
      <c r="Q26" s="16"/>
      <c r="R26" s="16"/>
      <c r="S26" s="16"/>
      <c r="T26" s="16"/>
      <c r="U26" s="16"/>
      <c r="V26" s="16"/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16"/>
    </row>
    <row r="27" ht="15.75" customHeight="1">
      <c r="A27" s="16">
        <v>24.0</v>
      </c>
      <c r="B27" s="23">
        <v>5.0</v>
      </c>
      <c r="C27" s="16"/>
      <c r="D27" s="22">
        <v>3.0</v>
      </c>
      <c r="E27" s="16"/>
      <c r="F27" s="23">
        <v>1.0</v>
      </c>
      <c r="G27" s="16"/>
      <c r="H27" s="16"/>
      <c r="I27" s="16"/>
      <c r="J27" s="14"/>
      <c r="M27" s="16">
        <v>24.0</v>
      </c>
      <c r="N27" s="23">
        <v>1.0</v>
      </c>
      <c r="O27" s="16"/>
      <c r="P27" s="23">
        <v>3.0</v>
      </c>
      <c r="Q27" s="16"/>
      <c r="R27" s="16"/>
      <c r="S27" s="16"/>
      <c r="T27" s="16"/>
      <c r="U27" s="16"/>
      <c r="V27" s="16"/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16"/>
    </row>
    <row r="28" ht="15.75" customHeight="1">
      <c r="A28" s="16">
        <v>25.0</v>
      </c>
      <c r="B28" s="23">
        <v>7.0</v>
      </c>
      <c r="C28" s="23">
        <v>2.0</v>
      </c>
      <c r="D28" s="22">
        <v>3.0</v>
      </c>
      <c r="E28" s="16"/>
      <c r="F28" s="23">
        <v>1.0</v>
      </c>
      <c r="G28" s="16"/>
      <c r="H28" s="16"/>
      <c r="I28" s="16"/>
      <c r="J28" s="14"/>
      <c r="M28" s="16">
        <v>25.0</v>
      </c>
      <c r="N28" s="23">
        <v>1.0</v>
      </c>
      <c r="O28" s="16"/>
      <c r="P28" s="23">
        <v>1.0</v>
      </c>
      <c r="Q28" s="16"/>
      <c r="R28" s="16"/>
      <c r="S28" s="16"/>
      <c r="T28" s="16"/>
      <c r="U28" s="16"/>
      <c r="V28" s="16"/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16"/>
    </row>
    <row r="29" ht="15.75" customHeight="1">
      <c r="A29" s="16">
        <v>26.0</v>
      </c>
      <c r="B29" s="23">
        <v>7.0</v>
      </c>
      <c r="C29" s="16"/>
      <c r="D29" s="22">
        <v>3.0</v>
      </c>
      <c r="E29" s="16"/>
      <c r="F29" s="23">
        <v>1.0</v>
      </c>
      <c r="G29" s="16"/>
      <c r="H29" s="16"/>
      <c r="I29" s="16"/>
      <c r="J29" s="14"/>
      <c r="M29" s="16">
        <v>26.0</v>
      </c>
      <c r="N29" s="23">
        <v>1.0</v>
      </c>
      <c r="O29" s="16"/>
      <c r="P29" s="23">
        <v>1.0</v>
      </c>
      <c r="Q29" s="16"/>
      <c r="R29" s="16"/>
      <c r="S29" s="16"/>
      <c r="T29" s="16"/>
      <c r="U29" s="16"/>
      <c r="V29" s="16"/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16"/>
    </row>
    <row r="30" ht="15.75" customHeight="1">
      <c r="A30" s="16">
        <v>27.0</v>
      </c>
      <c r="B30" s="23">
        <v>11.0</v>
      </c>
      <c r="C30" s="23">
        <v>3.0</v>
      </c>
      <c r="D30" s="22">
        <v>3.0</v>
      </c>
      <c r="E30" s="16"/>
      <c r="F30" s="23">
        <v>1.0</v>
      </c>
      <c r="G30" s="16"/>
      <c r="H30" s="16"/>
      <c r="I30" s="16"/>
      <c r="J30" s="14"/>
      <c r="M30" s="16">
        <v>27.0</v>
      </c>
      <c r="N30" s="23">
        <v>2.0</v>
      </c>
      <c r="O30" s="23">
        <v>1.0</v>
      </c>
      <c r="P30" s="23">
        <v>1.0</v>
      </c>
      <c r="Q30" s="16"/>
      <c r="R30" s="16"/>
      <c r="S30" s="16"/>
      <c r="T30" s="16"/>
      <c r="U30" s="16"/>
      <c r="V30" s="16"/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16"/>
    </row>
    <row r="31" ht="15.75" customHeight="1">
      <c r="A31" s="16">
        <v>28.0</v>
      </c>
      <c r="B31" s="23">
        <v>12.0</v>
      </c>
      <c r="C31" s="23">
        <v>1.0</v>
      </c>
      <c r="D31" s="22">
        <v>3.0</v>
      </c>
      <c r="E31" s="16"/>
      <c r="F31" s="23">
        <v>1.0</v>
      </c>
      <c r="G31" s="16"/>
      <c r="H31" s="16"/>
      <c r="I31" s="16"/>
      <c r="J31" s="14"/>
      <c r="M31" s="16">
        <v>28.0</v>
      </c>
      <c r="N31" s="23">
        <v>4.0</v>
      </c>
      <c r="O31" s="23">
        <v>2.0</v>
      </c>
      <c r="P31" s="23">
        <v>1.0</v>
      </c>
      <c r="Q31" s="16"/>
      <c r="R31" s="16"/>
      <c r="S31" s="16"/>
      <c r="T31" s="16"/>
      <c r="U31" s="16"/>
      <c r="V31" s="16"/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16"/>
    </row>
    <row r="32" ht="15.75" customHeight="1">
      <c r="A32" s="16">
        <v>29.0</v>
      </c>
      <c r="B32" s="23">
        <v>11.0</v>
      </c>
      <c r="C32" s="16"/>
      <c r="D32" s="23">
        <v>3.0</v>
      </c>
      <c r="E32" s="16"/>
      <c r="F32" s="23">
        <v>1.0</v>
      </c>
      <c r="G32" s="16"/>
      <c r="H32" s="16"/>
      <c r="I32" s="16"/>
      <c r="J32" s="16"/>
      <c r="M32" s="16">
        <v>29.0</v>
      </c>
      <c r="N32" s="23">
        <v>3.0</v>
      </c>
      <c r="O32" s="16"/>
      <c r="P32" s="23">
        <v>1.0</v>
      </c>
      <c r="Q32" s="16"/>
      <c r="R32" s="16"/>
      <c r="S32" s="16"/>
      <c r="T32" s="16"/>
      <c r="U32" s="16"/>
      <c r="V32" s="16"/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16"/>
    </row>
    <row r="33" ht="15.75" customHeight="1">
      <c r="A33" s="16">
        <v>30.0</v>
      </c>
      <c r="B33" s="23">
        <v>11.0</v>
      </c>
      <c r="C33" s="16"/>
      <c r="D33" s="23">
        <v>1.0</v>
      </c>
      <c r="E33" s="23"/>
      <c r="F33" s="23">
        <v>0.0</v>
      </c>
      <c r="G33" s="16"/>
      <c r="H33" s="16"/>
      <c r="I33" s="16"/>
      <c r="J33" s="16"/>
      <c r="M33" s="16">
        <v>30.0</v>
      </c>
      <c r="N33" s="23">
        <v>3.0</v>
      </c>
      <c r="O33" s="16"/>
      <c r="P33" s="23">
        <v>1.0</v>
      </c>
      <c r="Q33" s="16"/>
      <c r="R33" s="16"/>
      <c r="S33" s="16"/>
      <c r="T33" s="16"/>
      <c r="U33" s="16"/>
      <c r="V33" s="16"/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16"/>
    </row>
    <row r="34" ht="15.75" customHeight="1">
      <c r="A34" s="16">
        <v>31.0</v>
      </c>
      <c r="B34" s="27">
        <v>11.0</v>
      </c>
      <c r="C34" s="10"/>
      <c r="D34" s="27">
        <v>2.0</v>
      </c>
      <c r="E34" s="27">
        <v>1.0</v>
      </c>
      <c r="F34" s="27">
        <v>0.0</v>
      </c>
      <c r="G34" s="10"/>
      <c r="H34" s="10"/>
      <c r="I34" s="10"/>
      <c r="J34" s="10"/>
      <c r="M34" s="16">
        <v>31.0</v>
      </c>
      <c r="N34" s="27">
        <v>3.0</v>
      </c>
      <c r="O34" s="10"/>
      <c r="P34" s="27">
        <v>1.0</v>
      </c>
      <c r="Q34" s="10"/>
      <c r="R34" s="10"/>
      <c r="S34" s="10"/>
      <c r="T34" s="10"/>
      <c r="U34" s="10"/>
      <c r="V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J35" si="1">SUM(B4:B34)</f>
        <v>111</v>
      </c>
      <c r="C35" s="28">
        <f t="shared" si="1"/>
        <v>11</v>
      </c>
      <c r="D35" s="28">
        <f t="shared" si="1"/>
        <v>54</v>
      </c>
      <c r="E35" s="28">
        <f t="shared" si="1"/>
        <v>4</v>
      </c>
      <c r="F35" s="28">
        <f t="shared" si="1"/>
        <v>10</v>
      </c>
      <c r="G35" s="28">
        <f t="shared" si="1"/>
        <v>1</v>
      </c>
      <c r="H35" s="28">
        <f t="shared" si="1"/>
        <v>0</v>
      </c>
      <c r="I35" s="28">
        <f t="shared" si="1"/>
        <v>0</v>
      </c>
      <c r="J35" s="28">
        <f t="shared" si="1"/>
        <v>0</v>
      </c>
      <c r="M35" s="28" t="s">
        <v>11</v>
      </c>
      <c r="N35" s="28">
        <f t="shared" ref="N35:V35" si="2">SUM(N4:N34)</f>
        <v>20</v>
      </c>
      <c r="O35" s="28">
        <f t="shared" si="2"/>
        <v>3</v>
      </c>
      <c r="P35" s="28">
        <f t="shared" si="2"/>
        <v>43</v>
      </c>
      <c r="Q35" s="28">
        <f t="shared" si="2"/>
        <v>3</v>
      </c>
      <c r="R35" s="28">
        <f t="shared" si="2"/>
        <v>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0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0</v>
      </c>
    </row>
    <row r="36" ht="15.75" customHeight="1">
      <c r="A36" s="29" t="s">
        <v>12</v>
      </c>
      <c r="B36" s="28" t="str">
        <f t="shared" ref="B36:I36" si="4">(B35/$J$35)*1000</f>
        <v>#DIV/0!</v>
      </c>
      <c r="C36" s="28" t="str">
        <f t="shared" si="4"/>
        <v>#DIV/0!</v>
      </c>
      <c r="D36" s="28" t="str">
        <f t="shared" si="4"/>
        <v>#DIV/0!</v>
      </c>
      <c r="E36" s="28" t="str">
        <f t="shared" si="4"/>
        <v>#DIV/0!</v>
      </c>
      <c r="F36" s="28" t="str">
        <f t="shared" si="4"/>
        <v>#DIV/0!</v>
      </c>
      <c r="G36" s="28" t="str">
        <f t="shared" si="4"/>
        <v>#DIV/0!</v>
      </c>
      <c r="H36" s="28" t="str">
        <f t="shared" si="4"/>
        <v>#DIV/0!</v>
      </c>
      <c r="I36" s="28" t="str">
        <f t="shared" si="4"/>
        <v>#DIV/0!</v>
      </c>
      <c r="J36" s="28" t="str">
        <f>(J35/$J$35)*100</f>
        <v>#DIV/0!</v>
      </c>
      <c r="M36" s="29" t="s">
        <v>12</v>
      </c>
      <c r="N36" s="28" t="str">
        <f t="shared" ref="N36:U36" si="5">(N35/$V$35)*100</f>
        <v>#DIV/0!</v>
      </c>
      <c r="O36" s="28" t="str">
        <f t="shared" si="5"/>
        <v>#DIV/0!</v>
      </c>
      <c r="P36" s="28" t="str">
        <f t="shared" si="5"/>
        <v>#DIV/0!</v>
      </c>
      <c r="Q36" s="28" t="str">
        <f t="shared" si="5"/>
        <v>#DIV/0!</v>
      </c>
      <c r="R36" s="28" t="str">
        <f t="shared" si="5"/>
        <v>#DIV/0!</v>
      </c>
      <c r="S36" s="28" t="str">
        <f t="shared" si="5"/>
        <v>#DIV/0!</v>
      </c>
      <c r="T36" s="28" t="str">
        <f t="shared" si="5"/>
        <v>#DIV/0!</v>
      </c>
      <c r="U36" s="28" t="str">
        <f t="shared" si="5"/>
        <v>#DIV/0!</v>
      </c>
      <c r="V36" s="28"/>
      <c r="Y36" s="29" t="s">
        <v>12</v>
      </c>
      <c r="Z36" s="28" t="str">
        <f t="shared" ref="Z36:AG36" si="6">(Z35/$AH$35)*100</f>
        <v>#DIV/0!</v>
      </c>
      <c r="AA36" s="28" t="str">
        <f t="shared" si="6"/>
        <v>#DIV/0!</v>
      </c>
      <c r="AB36" s="28" t="str">
        <f t="shared" si="6"/>
        <v>#DIV/0!</v>
      </c>
      <c r="AC36" s="28" t="str">
        <f t="shared" si="6"/>
        <v>#DIV/0!</v>
      </c>
      <c r="AD36" s="28" t="str">
        <f t="shared" si="6"/>
        <v>#DIV/0!</v>
      </c>
      <c r="AE36" s="28" t="str">
        <f t="shared" si="6"/>
        <v>#DIV/0!</v>
      </c>
      <c r="AF36" s="28" t="str">
        <f t="shared" si="6"/>
        <v>#DIV/0!</v>
      </c>
      <c r="AG36" s="28" t="str">
        <f t="shared" si="6"/>
        <v>#DIV/0!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31" t="s">
        <v>14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7">
        <v>11.0</v>
      </c>
      <c r="C4" s="10"/>
      <c r="D4" s="27">
        <v>2.0</v>
      </c>
      <c r="E4" s="10"/>
      <c r="F4" s="27">
        <v>0.0</v>
      </c>
      <c r="G4" s="10"/>
      <c r="H4" s="10"/>
      <c r="I4" s="10"/>
      <c r="J4" s="32">
        <v>18.0</v>
      </c>
      <c r="M4" s="16">
        <v>1.0</v>
      </c>
      <c r="N4" s="27">
        <v>3.0</v>
      </c>
      <c r="O4" s="27">
        <v>1.0</v>
      </c>
      <c r="P4" s="27">
        <v>1.0</v>
      </c>
      <c r="Q4" s="10"/>
      <c r="R4" s="10"/>
      <c r="S4" s="10"/>
      <c r="T4" s="10"/>
      <c r="U4" s="10"/>
      <c r="V4" s="33">
        <v>10.0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16">
        <v>7.0</v>
      </c>
    </row>
    <row r="5" ht="15.75" customHeight="1">
      <c r="A5" s="16">
        <v>2.0</v>
      </c>
      <c r="B5" s="27">
        <v>10.0</v>
      </c>
      <c r="C5" s="27">
        <v>1.0</v>
      </c>
      <c r="D5" s="27">
        <v>1.0</v>
      </c>
      <c r="E5" s="10"/>
      <c r="F5" s="27">
        <v>0.0</v>
      </c>
      <c r="G5" s="10"/>
      <c r="H5" s="10"/>
      <c r="I5" s="10"/>
      <c r="J5" s="32">
        <v>20.0</v>
      </c>
      <c r="M5" s="16">
        <v>2.0</v>
      </c>
      <c r="N5" s="27">
        <v>4.0</v>
      </c>
      <c r="O5" s="10"/>
      <c r="P5" s="27">
        <v>1.0</v>
      </c>
      <c r="Q5" s="10"/>
      <c r="R5" s="10"/>
      <c r="S5" s="10"/>
      <c r="T5" s="10"/>
      <c r="U5" s="10"/>
      <c r="V5" s="34">
        <v>10.0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16">
        <v>8.0</v>
      </c>
    </row>
    <row r="6" ht="15.75" customHeight="1">
      <c r="A6" s="16">
        <v>3.0</v>
      </c>
      <c r="B6" s="27">
        <v>8.0</v>
      </c>
      <c r="C6" s="10"/>
      <c r="D6" s="27">
        <v>1.0</v>
      </c>
      <c r="E6" s="10"/>
      <c r="F6" s="27">
        <v>0.0</v>
      </c>
      <c r="G6" s="10"/>
      <c r="H6" s="10"/>
      <c r="I6" s="10"/>
      <c r="J6" s="35">
        <v>18.0</v>
      </c>
      <c r="M6" s="16">
        <v>3.0</v>
      </c>
      <c r="N6" s="27">
        <v>4.0</v>
      </c>
      <c r="O6" s="10"/>
      <c r="P6" s="27">
        <v>1.0</v>
      </c>
      <c r="Q6" s="10"/>
      <c r="R6" s="10"/>
      <c r="S6" s="10"/>
      <c r="T6" s="10"/>
      <c r="U6" s="10"/>
      <c r="V6" s="34">
        <v>10.0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16">
        <v>7.0</v>
      </c>
    </row>
    <row r="7" ht="15.75" customHeight="1">
      <c r="A7" s="16">
        <v>4.0</v>
      </c>
      <c r="B7" s="27">
        <v>9.0</v>
      </c>
      <c r="C7" s="27">
        <v>1.0</v>
      </c>
      <c r="D7" s="27">
        <v>2.0</v>
      </c>
      <c r="E7" s="27">
        <v>1.0</v>
      </c>
      <c r="F7" s="27">
        <v>0.0</v>
      </c>
      <c r="G7" s="10"/>
      <c r="H7" s="10"/>
      <c r="I7" s="10"/>
      <c r="J7" s="35">
        <v>19.0</v>
      </c>
      <c r="M7" s="16">
        <v>4.0</v>
      </c>
      <c r="N7" s="27">
        <v>4.0</v>
      </c>
      <c r="O7" s="10"/>
      <c r="P7" s="27">
        <v>1.0</v>
      </c>
      <c r="Q7" s="10"/>
      <c r="R7" s="10"/>
      <c r="S7" s="10"/>
      <c r="T7" s="10"/>
      <c r="U7" s="10"/>
      <c r="V7" s="34">
        <v>10.0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16">
        <v>5.0</v>
      </c>
    </row>
    <row r="8" ht="15.75" customHeight="1">
      <c r="A8" s="16">
        <v>5.0</v>
      </c>
      <c r="B8" s="27">
        <v>6.0</v>
      </c>
      <c r="C8" s="10"/>
      <c r="D8" s="27">
        <v>2.0</v>
      </c>
      <c r="E8" s="10"/>
      <c r="F8" s="27">
        <v>0.0</v>
      </c>
      <c r="G8" s="10"/>
      <c r="H8" s="10"/>
      <c r="I8" s="10"/>
      <c r="J8" s="32">
        <v>19.0</v>
      </c>
      <c r="M8" s="16">
        <v>5.0</v>
      </c>
      <c r="N8" s="27">
        <v>4.0</v>
      </c>
      <c r="O8" s="10"/>
      <c r="P8" s="27">
        <v>1.0</v>
      </c>
      <c r="Q8" s="10"/>
      <c r="R8" s="10"/>
      <c r="S8" s="10"/>
      <c r="T8" s="10"/>
      <c r="U8" s="10"/>
      <c r="V8" s="34">
        <v>9.0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16">
        <v>5.0</v>
      </c>
    </row>
    <row r="9" ht="15.75" customHeight="1">
      <c r="A9" s="16">
        <v>6.0</v>
      </c>
      <c r="B9" s="27">
        <v>6.0</v>
      </c>
      <c r="C9" s="10"/>
      <c r="D9" s="27">
        <v>2.0</v>
      </c>
      <c r="E9" s="27">
        <v>1.0</v>
      </c>
      <c r="F9" s="27">
        <v>0.0</v>
      </c>
      <c r="G9" s="10"/>
      <c r="H9" s="10"/>
      <c r="I9" s="10"/>
      <c r="J9" s="32">
        <v>15.0</v>
      </c>
      <c r="M9" s="16">
        <v>6.0</v>
      </c>
      <c r="N9" s="27">
        <v>5.0</v>
      </c>
      <c r="O9" s="10"/>
      <c r="P9" s="27">
        <v>0.0</v>
      </c>
      <c r="Q9" s="27">
        <v>1.0</v>
      </c>
      <c r="R9" s="10"/>
      <c r="S9" s="10"/>
      <c r="T9" s="10"/>
      <c r="U9" s="10"/>
      <c r="V9" s="34">
        <v>9.0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16">
        <v>5.0</v>
      </c>
    </row>
    <row r="10" ht="15.75" customHeight="1">
      <c r="A10" s="16">
        <v>7.0</v>
      </c>
      <c r="B10" s="27">
        <v>8.0</v>
      </c>
      <c r="C10" s="10"/>
      <c r="D10" s="27">
        <v>2.0</v>
      </c>
      <c r="E10" s="10"/>
      <c r="F10" s="27">
        <v>0.0</v>
      </c>
      <c r="G10" s="10"/>
      <c r="H10" s="10"/>
      <c r="I10" s="10"/>
      <c r="J10" s="32">
        <v>16.0</v>
      </c>
      <c r="M10" s="16">
        <v>7.0</v>
      </c>
      <c r="N10" s="27">
        <v>5.0</v>
      </c>
      <c r="O10" s="10"/>
      <c r="P10" s="27">
        <v>1.0</v>
      </c>
      <c r="Q10" s="10"/>
      <c r="R10" s="10"/>
      <c r="S10" s="10"/>
      <c r="T10" s="10"/>
      <c r="U10" s="10"/>
      <c r="V10" s="34">
        <v>9.0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16">
        <v>8.0</v>
      </c>
    </row>
    <row r="11" ht="15.75" customHeight="1">
      <c r="A11" s="16">
        <v>8.0</v>
      </c>
      <c r="B11" s="27">
        <v>8.0</v>
      </c>
      <c r="C11" s="10"/>
      <c r="D11" s="27">
        <v>2.0</v>
      </c>
      <c r="E11" s="10"/>
      <c r="F11" s="27">
        <v>0.0</v>
      </c>
      <c r="G11" s="10"/>
      <c r="H11" s="10"/>
      <c r="I11" s="10"/>
      <c r="J11" s="35">
        <v>15.0</v>
      </c>
      <c r="M11" s="16">
        <v>8.0</v>
      </c>
      <c r="N11" s="27">
        <v>4.0</v>
      </c>
      <c r="O11" s="27">
        <v>1.0</v>
      </c>
      <c r="P11" s="27">
        <v>1.0</v>
      </c>
      <c r="Q11" s="10"/>
      <c r="R11" s="10"/>
      <c r="S11" s="10"/>
      <c r="T11" s="10"/>
      <c r="U11" s="10"/>
      <c r="V11" s="34">
        <v>7.0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16">
        <v>7.0</v>
      </c>
    </row>
    <row r="12" ht="15.75" customHeight="1">
      <c r="A12" s="16">
        <v>9.0</v>
      </c>
      <c r="B12" s="27">
        <v>5.0</v>
      </c>
      <c r="C12" s="27">
        <v>1.0</v>
      </c>
      <c r="D12" s="27">
        <v>1.0</v>
      </c>
      <c r="E12" s="10"/>
      <c r="F12" s="27">
        <v>0.0</v>
      </c>
      <c r="G12" s="10"/>
      <c r="H12" s="10"/>
      <c r="I12" s="10"/>
      <c r="J12" s="35">
        <v>12.0</v>
      </c>
      <c r="M12" s="16">
        <v>9.0</v>
      </c>
      <c r="N12" s="27">
        <v>3.0</v>
      </c>
      <c r="O12" s="10"/>
      <c r="P12" s="27">
        <v>1.0</v>
      </c>
      <c r="Q12" s="10"/>
      <c r="R12" s="10"/>
      <c r="S12" s="10"/>
      <c r="T12" s="10"/>
      <c r="U12" s="10"/>
      <c r="V12" s="34">
        <v>4.0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16">
        <v>7.0</v>
      </c>
    </row>
    <row r="13" ht="15.75" customHeight="1">
      <c r="A13" s="16">
        <v>10.0</v>
      </c>
      <c r="B13" s="27">
        <v>4.0</v>
      </c>
      <c r="C13" s="27">
        <v>2.0</v>
      </c>
      <c r="D13" s="27">
        <v>1.0</v>
      </c>
      <c r="E13" s="27">
        <v>1.0</v>
      </c>
      <c r="F13" s="27">
        <v>0.0</v>
      </c>
      <c r="G13" s="10"/>
      <c r="H13" s="10"/>
      <c r="I13" s="10"/>
      <c r="J13" s="35">
        <v>12.0</v>
      </c>
      <c r="M13" s="16">
        <v>10.0</v>
      </c>
      <c r="N13" s="27">
        <v>3.0</v>
      </c>
      <c r="O13" s="27">
        <v>1.0</v>
      </c>
      <c r="P13" s="27">
        <v>1.0</v>
      </c>
      <c r="Q13" s="10"/>
      <c r="R13" s="10"/>
      <c r="S13" s="10"/>
      <c r="T13" s="10"/>
      <c r="U13" s="10"/>
      <c r="V13" s="34">
        <v>6.0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16">
        <v>7.0</v>
      </c>
    </row>
    <row r="14" ht="15.75" customHeight="1">
      <c r="A14" s="16">
        <v>11.0</v>
      </c>
      <c r="B14" s="27">
        <v>5.0</v>
      </c>
      <c r="C14" s="10"/>
      <c r="D14" s="27">
        <v>1.0</v>
      </c>
      <c r="E14" s="10"/>
      <c r="F14" s="27">
        <v>0.0</v>
      </c>
      <c r="G14" s="10"/>
      <c r="H14" s="10"/>
      <c r="I14" s="10"/>
      <c r="J14" s="35">
        <v>14.0</v>
      </c>
      <c r="M14" s="16">
        <v>11.0</v>
      </c>
      <c r="N14" s="23">
        <v>4.0</v>
      </c>
      <c r="O14" s="16"/>
      <c r="P14" s="23">
        <v>1.0</v>
      </c>
      <c r="Q14" s="16"/>
      <c r="R14" s="16"/>
      <c r="S14" s="16"/>
      <c r="T14" s="16"/>
      <c r="U14" s="16"/>
      <c r="V14" s="34">
        <v>8.0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16">
        <v>6.0</v>
      </c>
    </row>
    <row r="15" ht="15.75" customHeight="1">
      <c r="A15" s="16">
        <v>12.0</v>
      </c>
      <c r="B15" s="27">
        <v>5.0</v>
      </c>
      <c r="C15" s="10"/>
      <c r="D15" s="27">
        <v>1.0</v>
      </c>
      <c r="E15" s="10"/>
      <c r="F15" s="27">
        <v>0.0</v>
      </c>
      <c r="G15" s="10"/>
      <c r="H15" s="10"/>
      <c r="I15" s="10"/>
      <c r="J15" s="35">
        <v>15.0</v>
      </c>
      <c r="M15" s="16">
        <v>12.0</v>
      </c>
      <c r="N15" s="23">
        <v>4.0</v>
      </c>
      <c r="O15" s="16"/>
      <c r="P15" s="23">
        <v>1.0</v>
      </c>
      <c r="Q15" s="16"/>
      <c r="R15" s="16"/>
      <c r="S15" s="16"/>
      <c r="T15" s="16"/>
      <c r="U15" s="16"/>
      <c r="V15" s="34">
        <v>7.0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16">
        <v>4.0</v>
      </c>
    </row>
    <row r="16" ht="15.75" customHeight="1">
      <c r="A16" s="16">
        <v>13.0</v>
      </c>
      <c r="B16" s="23">
        <v>5.0</v>
      </c>
      <c r="C16" s="16"/>
      <c r="D16" s="23">
        <v>1.0</v>
      </c>
      <c r="E16" s="16"/>
      <c r="F16" s="23">
        <v>0.0</v>
      </c>
      <c r="G16" s="16"/>
      <c r="H16" s="16"/>
      <c r="I16" s="16"/>
      <c r="J16" s="35">
        <v>12.0</v>
      </c>
      <c r="M16" s="16">
        <v>13.0</v>
      </c>
      <c r="N16" s="23">
        <v>2.0</v>
      </c>
      <c r="O16" s="16"/>
      <c r="P16" s="23">
        <v>1.0</v>
      </c>
      <c r="Q16" s="16"/>
      <c r="R16" s="16"/>
      <c r="S16" s="16"/>
      <c r="T16" s="16"/>
      <c r="U16" s="16"/>
      <c r="V16" s="34">
        <v>7.0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16">
        <v>3.0</v>
      </c>
    </row>
    <row r="17" ht="15.75" customHeight="1">
      <c r="A17" s="16">
        <v>14.0</v>
      </c>
      <c r="B17" s="23">
        <v>2.0</v>
      </c>
      <c r="C17" s="16"/>
      <c r="D17" s="23">
        <v>1.0</v>
      </c>
      <c r="E17" s="16"/>
      <c r="F17" s="23">
        <v>0.0</v>
      </c>
      <c r="G17" s="16"/>
      <c r="H17" s="16"/>
      <c r="I17" s="16"/>
      <c r="J17" s="35">
        <v>12.0</v>
      </c>
      <c r="M17" s="16">
        <v>14.0</v>
      </c>
      <c r="N17" s="23">
        <v>2.0</v>
      </c>
      <c r="O17" s="16"/>
      <c r="P17" s="23">
        <v>1.0</v>
      </c>
      <c r="Q17" s="16"/>
      <c r="R17" s="16"/>
      <c r="S17" s="16"/>
      <c r="T17" s="16"/>
      <c r="U17" s="16"/>
      <c r="V17" s="34">
        <v>7.0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16">
        <v>3.0</v>
      </c>
    </row>
    <row r="18" ht="15.75" customHeight="1">
      <c r="A18" s="16">
        <v>15.0</v>
      </c>
      <c r="B18" s="23">
        <v>2.0</v>
      </c>
      <c r="C18" s="23">
        <v>1.0</v>
      </c>
      <c r="D18" s="23">
        <v>1.0</v>
      </c>
      <c r="E18" s="16"/>
      <c r="F18" s="23">
        <v>0.0</v>
      </c>
      <c r="G18" s="16"/>
      <c r="H18" s="16"/>
      <c r="I18" s="16"/>
      <c r="J18" s="35">
        <v>13.0</v>
      </c>
      <c r="M18" s="16">
        <v>15.0</v>
      </c>
      <c r="N18" s="23">
        <v>2.0</v>
      </c>
      <c r="O18" s="16"/>
      <c r="P18" s="23">
        <v>1.0</v>
      </c>
      <c r="Q18" s="16"/>
      <c r="R18" s="16"/>
      <c r="S18" s="16"/>
      <c r="T18" s="16"/>
      <c r="U18" s="16"/>
      <c r="V18" s="34">
        <v>8.0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16">
        <v>4.0</v>
      </c>
    </row>
    <row r="19" ht="15.75" customHeight="1">
      <c r="A19" s="16">
        <v>16.0</v>
      </c>
      <c r="B19" s="23">
        <v>2.0</v>
      </c>
      <c r="C19" s="16"/>
      <c r="D19" s="23">
        <v>1.0</v>
      </c>
      <c r="E19" s="16"/>
      <c r="F19" s="23">
        <v>0.0</v>
      </c>
      <c r="G19" s="16"/>
      <c r="H19" s="16"/>
      <c r="I19" s="16"/>
      <c r="J19" s="35">
        <v>13.0</v>
      </c>
      <c r="M19" s="16">
        <v>16.0</v>
      </c>
      <c r="N19" s="23">
        <v>2.0</v>
      </c>
      <c r="O19" s="16"/>
      <c r="P19" s="23">
        <v>1.0</v>
      </c>
      <c r="Q19" s="16"/>
      <c r="R19" s="16"/>
      <c r="S19" s="16"/>
      <c r="T19" s="16"/>
      <c r="U19" s="16"/>
      <c r="V19" s="34">
        <v>7.0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16">
        <v>3.0</v>
      </c>
    </row>
    <row r="20" ht="15.75" customHeight="1">
      <c r="A20" s="16">
        <v>17.0</v>
      </c>
      <c r="B20" s="23">
        <v>3.0</v>
      </c>
      <c r="C20" s="16"/>
      <c r="D20" s="23">
        <v>1.0</v>
      </c>
      <c r="E20" s="16"/>
      <c r="F20" s="23">
        <v>0.0</v>
      </c>
      <c r="G20" s="16"/>
      <c r="H20" s="16"/>
      <c r="I20" s="16"/>
      <c r="J20" s="35">
        <v>11.0</v>
      </c>
      <c r="M20" s="16">
        <v>17.0</v>
      </c>
      <c r="N20" s="23">
        <v>2.0</v>
      </c>
      <c r="O20" s="23">
        <v>1.0</v>
      </c>
      <c r="P20" s="23">
        <v>1.0</v>
      </c>
      <c r="Q20" s="16"/>
      <c r="R20" s="16"/>
      <c r="S20" s="16"/>
      <c r="T20" s="16"/>
      <c r="U20" s="16"/>
      <c r="V20" s="34">
        <v>7.0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16">
        <v>4.0</v>
      </c>
    </row>
    <row r="21" ht="15.75" customHeight="1">
      <c r="A21" s="16">
        <v>18.0</v>
      </c>
      <c r="B21" s="23">
        <v>2.0</v>
      </c>
      <c r="C21" s="16"/>
      <c r="D21" s="23">
        <v>1.0</v>
      </c>
      <c r="E21" s="16"/>
      <c r="F21" s="23">
        <v>0.0</v>
      </c>
      <c r="G21" s="16"/>
      <c r="H21" s="16"/>
      <c r="I21" s="16"/>
      <c r="J21" s="35">
        <v>12.0</v>
      </c>
      <c r="M21" s="16">
        <v>18.0</v>
      </c>
      <c r="N21" s="23">
        <v>1.0</v>
      </c>
      <c r="O21" s="16"/>
      <c r="P21" s="23">
        <v>1.0</v>
      </c>
      <c r="Q21" s="16"/>
      <c r="R21" s="16"/>
      <c r="S21" s="16"/>
      <c r="T21" s="16"/>
      <c r="U21" s="16"/>
      <c r="V21" s="34">
        <v>7.0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16">
        <v>7.0</v>
      </c>
    </row>
    <row r="22" ht="15.75" customHeight="1">
      <c r="A22" s="16">
        <v>19.0</v>
      </c>
      <c r="B22" s="23">
        <v>1.0</v>
      </c>
      <c r="C22" s="16"/>
      <c r="D22" s="23">
        <v>1.0</v>
      </c>
      <c r="E22" s="16"/>
      <c r="F22" s="23">
        <v>0.0</v>
      </c>
      <c r="G22" s="16"/>
      <c r="H22" s="16"/>
      <c r="I22" s="16"/>
      <c r="J22" s="35">
        <v>14.0</v>
      </c>
      <c r="M22" s="16">
        <v>19.0</v>
      </c>
      <c r="N22" s="23">
        <v>1.0</v>
      </c>
      <c r="O22" s="23">
        <v>1.0</v>
      </c>
      <c r="P22" s="23">
        <v>1.0</v>
      </c>
      <c r="Q22" s="16"/>
      <c r="R22" s="16"/>
      <c r="S22" s="16"/>
      <c r="T22" s="16"/>
      <c r="U22" s="16"/>
      <c r="V22" s="34">
        <v>9.0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16">
        <v>6.0</v>
      </c>
    </row>
    <row r="23" ht="15.75" customHeight="1">
      <c r="A23" s="16">
        <v>20.0</v>
      </c>
      <c r="B23" s="23">
        <v>1.0</v>
      </c>
      <c r="C23" s="16"/>
      <c r="D23" s="23">
        <v>1.0</v>
      </c>
      <c r="E23" s="16"/>
      <c r="F23" s="23">
        <v>0.0</v>
      </c>
      <c r="G23" s="16"/>
      <c r="H23" s="16"/>
      <c r="I23" s="16"/>
      <c r="J23" s="35">
        <v>14.0</v>
      </c>
      <c r="M23" s="16">
        <v>20.0</v>
      </c>
      <c r="N23" s="23">
        <v>2.0</v>
      </c>
      <c r="O23" s="16"/>
      <c r="P23" s="23">
        <v>1.0</v>
      </c>
      <c r="Q23" s="16"/>
      <c r="R23" s="16"/>
      <c r="S23" s="16"/>
      <c r="T23" s="16"/>
      <c r="U23" s="16"/>
      <c r="V23" s="34">
        <v>9.0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16">
        <v>6.0</v>
      </c>
    </row>
    <row r="24" ht="15.75" customHeight="1">
      <c r="A24" s="16">
        <v>21.0</v>
      </c>
      <c r="B24" s="23">
        <v>0.0</v>
      </c>
      <c r="C24" s="16"/>
      <c r="D24" s="23">
        <v>1.0</v>
      </c>
      <c r="E24" s="16"/>
      <c r="F24" s="23">
        <v>0.0</v>
      </c>
      <c r="G24" s="16"/>
      <c r="H24" s="16"/>
      <c r="I24" s="16"/>
      <c r="J24" s="35">
        <v>16.0</v>
      </c>
      <c r="M24" s="16">
        <v>21.0</v>
      </c>
      <c r="N24" s="23">
        <v>1.0</v>
      </c>
      <c r="O24" s="16"/>
      <c r="P24" s="23">
        <v>0.0</v>
      </c>
      <c r="Q24" s="16"/>
      <c r="R24" s="16"/>
      <c r="S24" s="16"/>
      <c r="T24" s="16"/>
      <c r="U24" s="16"/>
      <c r="V24" s="34">
        <v>9.0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16">
        <v>6.0</v>
      </c>
    </row>
    <row r="25" ht="15.75" customHeight="1">
      <c r="A25" s="16">
        <v>22.0</v>
      </c>
      <c r="B25" s="23">
        <v>0.0</v>
      </c>
      <c r="C25" s="16"/>
      <c r="D25" s="23">
        <v>1.0</v>
      </c>
      <c r="E25" s="16"/>
      <c r="F25" s="23">
        <v>0.0</v>
      </c>
      <c r="G25" s="16"/>
      <c r="H25" s="16"/>
      <c r="I25" s="16"/>
      <c r="J25" s="35">
        <v>13.0</v>
      </c>
      <c r="M25" s="16">
        <v>22.0</v>
      </c>
      <c r="N25" s="23">
        <v>1.0</v>
      </c>
      <c r="O25" s="16"/>
      <c r="P25" s="23">
        <v>0.0</v>
      </c>
      <c r="Q25" s="16"/>
      <c r="R25" s="16"/>
      <c r="S25" s="16"/>
      <c r="T25" s="16"/>
      <c r="U25" s="16"/>
      <c r="V25" s="34">
        <v>5.0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16">
        <v>8.0</v>
      </c>
    </row>
    <row r="26" ht="15.75" customHeight="1">
      <c r="A26" s="16">
        <v>23.0</v>
      </c>
      <c r="B26" s="23">
        <v>0.0</v>
      </c>
      <c r="C26" s="23">
        <v>2.0</v>
      </c>
      <c r="D26" s="23">
        <v>1.0</v>
      </c>
      <c r="E26" s="16"/>
      <c r="F26" s="23">
        <v>0.0</v>
      </c>
      <c r="G26" s="16"/>
      <c r="H26" s="16"/>
      <c r="I26" s="16"/>
      <c r="J26" s="35">
        <v>12.0</v>
      </c>
      <c r="M26" s="16">
        <v>23.0</v>
      </c>
      <c r="N26" s="23">
        <v>1.0</v>
      </c>
      <c r="O26" s="16"/>
      <c r="P26" s="23">
        <v>0.0</v>
      </c>
      <c r="Q26" s="16"/>
      <c r="R26" s="16"/>
      <c r="S26" s="16"/>
      <c r="T26" s="16"/>
      <c r="U26" s="16"/>
      <c r="V26" s="34">
        <v>7.0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16">
        <v>7.0</v>
      </c>
    </row>
    <row r="27" ht="15.75" customHeight="1">
      <c r="A27" s="16">
        <v>24.0</v>
      </c>
      <c r="B27" s="23">
        <v>2.0</v>
      </c>
      <c r="C27" s="16"/>
      <c r="D27" s="23">
        <v>1.0</v>
      </c>
      <c r="E27" s="16"/>
      <c r="F27" s="23">
        <v>1.0</v>
      </c>
      <c r="G27" s="16"/>
      <c r="H27" s="16"/>
      <c r="I27" s="16"/>
      <c r="J27" s="35">
        <v>11.0</v>
      </c>
      <c r="M27" s="16">
        <v>24.0</v>
      </c>
      <c r="N27" s="23">
        <v>0.0</v>
      </c>
      <c r="O27" s="16"/>
      <c r="P27" s="23">
        <v>0.0</v>
      </c>
      <c r="Q27" s="16"/>
      <c r="R27" s="16"/>
      <c r="S27" s="16"/>
      <c r="T27" s="16"/>
      <c r="U27" s="16"/>
      <c r="V27" s="34">
        <v>8.0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16">
        <v>7.0</v>
      </c>
    </row>
    <row r="28" ht="15.75" customHeight="1">
      <c r="A28" s="16">
        <v>25.0</v>
      </c>
      <c r="B28" s="23">
        <v>2.0</v>
      </c>
      <c r="C28" s="23">
        <v>1.0</v>
      </c>
      <c r="D28" s="23">
        <v>1.0</v>
      </c>
      <c r="E28" s="23">
        <v>1.0</v>
      </c>
      <c r="F28" s="23">
        <v>1.0</v>
      </c>
      <c r="G28" s="16"/>
      <c r="H28" s="16"/>
      <c r="I28" s="16"/>
      <c r="J28" s="35">
        <v>14.0</v>
      </c>
      <c r="M28" s="16">
        <v>25.0</v>
      </c>
      <c r="N28" s="23">
        <v>0.0</v>
      </c>
      <c r="O28" s="16"/>
      <c r="P28" s="23">
        <v>0.0</v>
      </c>
      <c r="Q28" s="16"/>
      <c r="R28" s="16"/>
      <c r="S28" s="16"/>
      <c r="T28" s="16"/>
      <c r="U28" s="16"/>
      <c r="V28" s="34">
        <v>7.0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16">
        <v>8.0</v>
      </c>
    </row>
    <row r="29" ht="15.75" customHeight="1">
      <c r="A29" s="16">
        <v>26.0</v>
      </c>
      <c r="B29" s="23">
        <v>3.0</v>
      </c>
      <c r="C29" s="16"/>
      <c r="D29" s="23">
        <v>2.0</v>
      </c>
      <c r="E29" s="16"/>
      <c r="F29" s="23">
        <v>1.0</v>
      </c>
      <c r="G29" s="16"/>
      <c r="H29" s="16"/>
      <c r="I29" s="16"/>
      <c r="J29" s="35">
        <v>15.0</v>
      </c>
      <c r="M29" s="16">
        <v>26.0</v>
      </c>
      <c r="N29" s="23">
        <v>0.0</v>
      </c>
      <c r="O29" s="16"/>
      <c r="P29" s="23">
        <v>0.0</v>
      </c>
      <c r="Q29" s="16"/>
      <c r="R29" s="16"/>
      <c r="S29" s="16"/>
      <c r="T29" s="16"/>
      <c r="U29" s="16"/>
      <c r="V29" s="34">
        <v>8.0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16">
        <v>8.0</v>
      </c>
    </row>
    <row r="30" ht="15.75" customHeight="1">
      <c r="A30" s="16">
        <v>27.0</v>
      </c>
      <c r="B30" s="23">
        <v>3.0</v>
      </c>
      <c r="C30" s="16"/>
      <c r="D30" s="23">
        <v>2.0</v>
      </c>
      <c r="E30" s="16"/>
      <c r="F30" s="23">
        <v>1.0</v>
      </c>
      <c r="G30" s="16"/>
      <c r="H30" s="16"/>
      <c r="I30" s="16"/>
      <c r="J30" s="35">
        <v>17.0</v>
      </c>
      <c r="M30" s="16">
        <v>27.0</v>
      </c>
      <c r="N30" s="23">
        <v>0.0</v>
      </c>
      <c r="O30" s="16"/>
      <c r="P30" s="23">
        <v>0.0</v>
      </c>
      <c r="Q30" s="16"/>
      <c r="R30" s="16"/>
      <c r="S30" s="16"/>
      <c r="T30" s="16"/>
      <c r="U30" s="16"/>
      <c r="V30" s="34">
        <v>9.0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16">
        <v>6.0</v>
      </c>
    </row>
    <row r="31" ht="15.75" customHeight="1">
      <c r="A31" s="16">
        <v>28.0</v>
      </c>
      <c r="B31" s="23">
        <v>3.0</v>
      </c>
      <c r="C31" s="16"/>
      <c r="D31" s="23">
        <v>2.0</v>
      </c>
      <c r="E31" s="16"/>
      <c r="F31" s="23">
        <v>1.0</v>
      </c>
      <c r="G31" s="16"/>
      <c r="H31" s="16"/>
      <c r="I31" s="16"/>
      <c r="J31" s="35">
        <v>15.0</v>
      </c>
      <c r="M31" s="16">
        <v>28.0</v>
      </c>
      <c r="N31" s="23">
        <v>0.0</v>
      </c>
      <c r="O31" s="16"/>
      <c r="P31" s="23">
        <v>0.0</v>
      </c>
      <c r="Q31" s="16"/>
      <c r="R31" s="16"/>
      <c r="S31" s="16"/>
      <c r="T31" s="16"/>
      <c r="U31" s="16"/>
      <c r="V31" s="34">
        <v>9.0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16">
        <v>5.0</v>
      </c>
    </row>
    <row r="32" ht="15.75" customHeight="1">
      <c r="A32" s="16">
        <v>29.0</v>
      </c>
      <c r="B32" s="16"/>
      <c r="C32" s="16"/>
      <c r="D32" s="16"/>
      <c r="E32" s="16"/>
      <c r="F32" s="16"/>
      <c r="G32" s="16"/>
      <c r="H32" s="16"/>
      <c r="I32" s="16"/>
      <c r="J32" s="16"/>
      <c r="M32" s="16">
        <v>29.0</v>
      </c>
      <c r="N32" s="16"/>
      <c r="O32" s="16"/>
      <c r="P32" s="16"/>
      <c r="Q32" s="16"/>
      <c r="R32" s="16"/>
      <c r="S32" s="16"/>
      <c r="T32" s="16"/>
      <c r="U32" s="16"/>
      <c r="V32" s="16"/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16"/>
    </row>
    <row r="33" ht="15.75" customHeight="1">
      <c r="A33" s="16">
        <v>30.0</v>
      </c>
      <c r="B33" s="16"/>
      <c r="C33" s="16"/>
      <c r="D33" s="16"/>
      <c r="E33" s="16"/>
      <c r="F33" s="16"/>
      <c r="G33" s="16"/>
      <c r="H33" s="16"/>
      <c r="I33" s="16"/>
      <c r="J33" s="16"/>
      <c r="M33" s="16">
        <v>30.0</v>
      </c>
      <c r="N33" s="16"/>
      <c r="O33" s="16"/>
      <c r="P33" s="16"/>
      <c r="Q33" s="16"/>
      <c r="R33" s="16"/>
      <c r="S33" s="16"/>
      <c r="T33" s="16"/>
      <c r="U33" s="16"/>
      <c r="V33" s="16"/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16"/>
    </row>
    <row r="34" ht="15.75" customHeight="1">
      <c r="A34" s="16">
        <v>31.0</v>
      </c>
      <c r="B34" s="10"/>
      <c r="C34" s="10"/>
      <c r="D34" s="10"/>
      <c r="E34" s="10"/>
      <c r="F34" s="10"/>
      <c r="G34" s="10"/>
      <c r="H34" s="10"/>
      <c r="I34" s="10"/>
      <c r="J34" s="10"/>
      <c r="M34" s="16">
        <v>31.0</v>
      </c>
      <c r="N34" s="16">
        <v>31.0</v>
      </c>
      <c r="O34" s="27">
        <v>1.0</v>
      </c>
      <c r="P34" s="10"/>
      <c r="Q34" s="27">
        <v>1.0</v>
      </c>
      <c r="R34" s="10"/>
      <c r="S34" s="10"/>
      <c r="T34" s="10"/>
      <c r="U34" s="10"/>
      <c r="V34" s="10"/>
      <c r="W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6"/>
    </row>
    <row r="35" ht="15.75" customHeight="1">
      <c r="A35" s="28" t="s">
        <v>11</v>
      </c>
      <c r="B35" s="28">
        <f t="shared" ref="B35:J35" si="1">SUM(B4:B34)</f>
        <v>116</v>
      </c>
      <c r="C35" s="28">
        <f t="shared" si="1"/>
        <v>9</v>
      </c>
      <c r="D35" s="28">
        <f t="shared" si="1"/>
        <v>37</v>
      </c>
      <c r="E35" s="28">
        <f t="shared" si="1"/>
        <v>4</v>
      </c>
      <c r="F35" s="28">
        <f t="shared" si="1"/>
        <v>5</v>
      </c>
      <c r="G35" s="28">
        <f t="shared" si="1"/>
        <v>0</v>
      </c>
      <c r="H35" s="28">
        <f t="shared" si="1"/>
        <v>0</v>
      </c>
      <c r="I35" s="28">
        <f t="shared" si="1"/>
        <v>0</v>
      </c>
      <c r="J35" s="28">
        <f t="shared" si="1"/>
        <v>407</v>
      </c>
      <c r="M35" s="28" t="s">
        <v>11</v>
      </c>
      <c r="N35" s="28">
        <f t="shared" ref="N35:V35" si="2">SUM(N4:N34)</f>
        <v>95</v>
      </c>
      <c r="O35" s="28">
        <f t="shared" si="2"/>
        <v>6</v>
      </c>
      <c r="P35" s="28">
        <f t="shared" si="2"/>
        <v>19</v>
      </c>
      <c r="Q35" s="28">
        <f t="shared" si="2"/>
        <v>2</v>
      </c>
      <c r="R35" s="28">
        <f t="shared" si="2"/>
        <v>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222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167</v>
      </c>
    </row>
    <row r="36" ht="15.75" customHeight="1">
      <c r="A36" s="29" t="s">
        <v>12</v>
      </c>
      <c r="B36" s="28">
        <f t="shared" ref="B36:I36" si="4">(B35/$J$35)*1000</f>
        <v>285.012285</v>
      </c>
      <c r="C36" s="28">
        <f t="shared" si="4"/>
        <v>22.11302211</v>
      </c>
      <c r="D36" s="28">
        <f t="shared" si="4"/>
        <v>90.90909091</v>
      </c>
      <c r="E36" s="28">
        <f t="shared" si="4"/>
        <v>9.828009828</v>
      </c>
      <c r="F36" s="28">
        <f t="shared" si="4"/>
        <v>12.28501229</v>
      </c>
      <c r="G36" s="28">
        <f t="shared" si="4"/>
        <v>0</v>
      </c>
      <c r="H36" s="28">
        <f t="shared" si="4"/>
        <v>0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42.79279279</v>
      </c>
      <c r="O36" s="28">
        <f t="shared" si="5"/>
        <v>2.702702703</v>
      </c>
      <c r="P36" s="28">
        <f t="shared" si="5"/>
        <v>8.558558559</v>
      </c>
      <c r="Q36" s="28">
        <f t="shared" si="5"/>
        <v>0.9009009009</v>
      </c>
      <c r="R36" s="28">
        <f t="shared" si="5"/>
        <v>0</v>
      </c>
      <c r="S36" s="28">
        <f t="shared" si="5"/>
        <v>0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0.0</v>
      </c>
      <c r="C4" s="23"/>
      <c r="D4" s="23">
        <v>2.0</v>
      </c>
      <c r="E4" s="16"/>
      <c r="F4" s="23">
        <v>1.0</v>
      </c>
      <c r="G4" s="16"/>
      <c r="H4" s="23">
        <v>0.0</v>
      </c>
      <c r="I4" s="16"/>
      <c r="J4" s="16">
        <v>17.0</v>
      </c>
      <c r="M4" s="16">
        <v>1.0</v>
      </c>
      <c r="N4" s="23">
        <v>1.0</v>
      </c>
      <c r="O4" s="16"/>
      <c r="P4" s="23">
        <v>1.0</v>
      </c>
      <c r="Q4" s="16"/>
      <c r="R4" s="23">
        <v>1.0</v>
      </c>
      <c r="S4" s="16"/>
      <c r="T4" s="16"/>
      <c r="U4" s="16"/>
      <c r="V4" s="33">
        <v>10.0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16">
        <v>4.0</v>
      </c>
    </row>
    <row r="5" ht="15.75" customHeight="1">
      <c r="A5" s="16">
        <v>2.0</v>
      </c>
      <c r="B5" s="23">
        <v>0.0</v>
      </c>
      <c r="C5" s="16"/>
      <c r="D5" s="23">
        <v>1.0</v>
      </c>
      <c r="E5" s="16"/>
      <c r="F5" s="23">
        <v>1.0</v>
      </c>
      <c r="G5" s="16"/>
      <c r="H5" s="23">
        <v>0.0</v>
      </c>
      <c r="I5" s="16"/>
      <c r="J5" s="16">
        <v>16.0</v>
      </c>
      <c r="M5" s="16">
        <v>2.0</v>
      </c>
      <c r="N5" s="23">
        <v>1.0</v>
      </c>
      <c r="O5" s="16"/>
      <c r="P5" s="23">
        <v>1.0</v>
      </c>
      <c r="Q5" s="16"/>
      <c r="R5" s="23">
        <v>1.0</v>
      </c>
      <c r="S5" s="16"/>
      <c r="T5" s="16"/>
      <c r="U5" s="16"/>
      <c r="V5" s="34">
        <v>8.0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16">
        <v>4.0</v>
      </c>
    </row>
    <row r="6" ht="15.75" customHeight="1">
      <c r="A6" s="16">
        <v>3.0</v>
      </c>
      <c r="B6" s="23">
        <v>0.0</v>
      </c>
      <c r="C6" s="16"/>
      <c r="D6" s="23">
        <v>1.0</v>
      </c>
      <c r="E6" s="16"/>
      <c r="F6" s="23">
        <v>1.0</v>
      </c>
      <c r="G6" s="16"/>
      <c r="H6" s="23">
        <v>0.0</v>
      </c>
      <c r="I6" s="16"/>
      <c r="J6" s="16">
        <v>16.0</v>
      </c>
      <c r="M6" s="16">
        <v>3.0</v>
      </c>
      <c r="N6" s="23">
        <v>1.0</v>
      </c>
      <c r="O6" s="16"/>
      <c r="P6" s="23">
        <v>1.0</v>
      </c>
      <c r="Q6" s="16"/>
      <c r="R6" s="23">
        <v>1.0</v>
      </c>
      <c r="S6" s="16"/>
      <c r="T6" s="16"/>
      <c r="U6" s="16"/>
      <c r="V6" s="34">
        <v>8.0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16">
        <v>5.0</v>
      </c>
    </row>
    <row r="7" ht="15.75" customHeight="1">
      <c r="A7" s="16">
        <v>4.0</v>
      </c>
      <c r="B7" s="23">
        <v>0.0</v>
      </c>
      <c r="C7" s="16"/>
      <c r="D7" s="23">
        <v>1.0</v>
      </c>
      <c r="E7" s="16"/>
      <c r="F7" s="23">
        <v>0.0</v>
      </c>
      <c r="G7" s="23">
        <v>1.0</v>
      </c>
      <c r="H7" s="23">
        <v>0.0</v>
      </c>
      <c r="I7" s="16"/>
      <c r="J7" s="16">
        <v>11.0</v>
      </c>
      <c r="M7" s="16">
        <v>4.0</v>
      </c>
      <c r="N7" s="23">
        <v>1.0</v>
      </c>
      <c r="O7" s="16"/>
      <c r="P7" s="23">
        <v>1.0</v>
      </c>
      <c r="Q7" s="16"/>
      <c r="R7" s="23">
        <v>1.0</v>
      </c>
      <c r="S7" s="16"/>
      <c r="T7" s="16"/>
      <c r="U7" s="16"/>
      <c r="V7" s="34">
        <v>7.0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16">
        <v>5.0</v>
      </c>
    </row>
    <row r="8" ht="15.75" customHeight="1">
      <c r="A8" s="16">
        <v>5.0</v>
      </c>
      <c r="B8" s="23">
        <v>0.0</v>
      </c>
      <c r="C8" s="16"/>
      <c r="D8" s="23">
        <v>1.0</v>
      </c>
      <c r="E8" s="16"/>
      <c r="F8" s="23">
        <v>1.0</v>
      </c>
      <c r="G8" s="16"/>
      <c r="H8" s="23">
        <v>0.0</v>
      </c>
      <c r="I8" s="16"/>
      <c r="J8" s="16">
        <v>16.0</v>
      </c>
      <c r="M8" s="16">
        <v>5.0</v>
      </c>
      <c r="N8" s="23">
        <v>1.0</v>
      </c>
      <c r="O8" s="16"/>
      <c r="P8" s="23">
        <v>1.0</v>
      </c>
      <c r="Q8" s="16"/>
      <c r="R8" s="23">
        <v>1.0</v>
      </c>
      <c r="S8" s="16"/>
      <c r="T8" s="16"/>
      <c r="U8" s="16"/>
      <c r="V8" s="34">
        <v>9.0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16">
        <v>3.0</v>
      </c>
    </row>
    <row r="9" ht="15.75" customHeight="1">
      <c r="A9" s="16">
        <v>6.0</v>
      </c>
      <c r="B9" s="23">
        <v>0.0</v>
      </c>
      <c r="C9" s="16"/>
      <c r="D9" s="23">
        <v>1.0</v>
      </c>
      <c r="E9" s="16"/>
      <c r="F9" s="23">
        <v>1.0</v>
      </c>
      <c r="G9" s="16"/>
      <c r="H9" s="23">
        <v>0.0</v>
      </c>
      <c r="I9" s="16"/>
      <c r="J9" s="16">
        <v>19.0</v>
      </c>
      <c r="M9" s="16">
        <v>6.0</v>
      </c>
      <c r="N9" s="23">
        <v>1.0</v>
      </c>
      <c r="O9" s="16"/>
      <c r="P9" s="23">
        <v>1.0</v>
      </c>
      <c r="Q9" s="16"/>
      <c r="R9" s="23">
        <v>1.0</v>
      </c>
      <c r="S9" s="16"/>
      <c r="T9" s="16"/>
      <c r="U9" s="16"/>
      <c r="V9" s="34">
        <v>7.0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16">
        <v>6.0</v>
      </c>
    </row>
    <row r="10" ht="15.75" customHeight="1">
      <c r="A10" s="16">
        <v>7.0</v>
      </c>
      <c r="B10" s="23">
        <v>0.0</v>
      </c>
      <c r="C10" s="16"/>
      <c r="D10" s="23">
        <v>1.0</v>
      </c>
      <c r="E10" s="16"/>
      <c r="F10" s="23">
        <v>1.0</v>
      </c>
      <c r="G10" s="16"/>
      <c r="H10" s="23">
        <v>0.0</v>
      </c>
      <c r="I10" s="16"/>
      <c r="J10" s="16">
        <v>17.0</v>
      </c>
      <c r="M10" s="16">
        <v>7.0</v>
      </c>
      <c r="N10" s="23">
        <v>1.0</v>
      </c>
      <c r="O10" s="16"/>
      <c r="P10" s="23">
        <v>1.0</v>
      </c>
      <c r="Q10" s="16"/>
      <c r="R10" s="23">
        <v>1.0</v>
      </c>
      <c r="S10" s="16"/>
      <c r="T10" s="16"/>
      <c r="U10" s="16"/>
      <c r="V10" s="34">
        <v>8.0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16">
        <v>7.0</v>
      </c>
    </row>
    <row r="11" ht="15.75" customHeight="1">
      <c r="A11" s="16">
        <v>8.0</v>
      </c>
      <c r="B11" s="23">
        <v>0.0</v>
      </c>
      <c r="C11" s="23">
        <v>1.0</v>
      </c>
      <c r="D11" s="23">
        <v>1.0</v>
      </c>
      <c r="E11" s="16"/>
      <c r="F11" s="23">
        <v>1.0</v>
      </c>
      <c r="G11" s="16"/>
      <c r="H11" s="23">
        <v>0.0</v>
      </c>
      <c r="I11" s="16"/>
      <c r="J11" s="16">
        <v>18.0</v>
      </c>
      <c r="M11" s="16">
        <v>8.0</v>
      </c>
      <c r="N11" s="23">
        <v>1.0</v>
      </c>
      <c r="O11" s="23">
        <v>1.0</v>
      </c>
      <c r="P11" s="23">
        <v>1.0</v>
      </c>
      <c r="Q11" s="16"/>
      <c r="R11" s="23">
        <v>1.0</v>
      </c>
      <c r="S11" s="16"/>
      <c r="T11" s="16"/>
      <c r="U11" s="16"/>
      <c r="V11" s="34">
        <v>9.0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16">
        <v>7.0</v>
      </c>
    </row>
    <row r="12" ht="15.75" customHeight="1">
      <c r="A12" s="16">
        <v>9.0</v>
      </c>
      <c r="B12" s="23">
        <v>0.0</v>
      </c>
      <c r="C12" s="16"/>
      <c r="D12" s="23">
        <v>1.0</v>
      </c>
      <c r="E12" s="16"/>
      <c r="F12" s="23">
        <v>1.0</v>
      </c>
      <c r="G12" s="16"/>
      <c r="H12" s="23">
        <v>0.0</v>
      </c>
      <c r="I12" s="16"/>
      <c r="J12" s="16">
        <v>16.0</v>
      </c>
      <c r="M12" s="16">
        <v>9.0</v>
      </c>
      <c r="N12" s="23">
        <v>2.0</v>
      </c>
      <c r="O12" s="16"/>
      <c r="P12" s="23">
        <v>1.0</v>
      </c>
      <c r="Q12" s="16"/>
      <c r="R12" s="23">
        <v>1.0</v>
      </c>
      <c r="S12" s="16"/>
      <c r="T12" s="16"/>
      <c r="U12" s="16"/>
      <c r="V12" s="34">
        <v>8.0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16">
        <v>6.0</v>
      </c>
    </row>
    <row r="13" ht="15.75" customHeight="1">
      <c r="A13" s="16">
        <v>10.0</v>
      </c>
      <c r="B13" s="23">
        <v>0.0</v>
      </c>
      <c r="C13" s="16"/>
      <c r="D13" s="23">
        <v>1.0</v>
      </c>
      <c r="E13" s="16"/>
      <c r="F13" s="23">
        <v>1.0</v>
      </c>
      <c r="G13" s="16"/>
      <c r="H13" s="23">
        <v>0.0</v>
      </c>
      <c r="I13" s="16"/>
      <c r="J13" s="16">
        <v>11.0</v>
      </c>
      <c r="M13" s="16">
        <v>10.0</v>
      </c>
      <c r="N13" s="23">
        <v>2.0</v>
      </c>
      <c r="O13" s="23">
        <v>1.0</v>
      </c>
      <c r="P13" s="23">
        <v>1.0</v>
      </c>
      <c r="Q13" s="16"/>
      <c r="R13" s="23">
        <v>1.0</v>
      </c>
      <c r="S13" s="16"/>
      <c r="T13" s="16"/>
      <c r="U13" s="16"/>
      <c r="V13" s="34">
        <v>6.0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16">
        <v>5.0</v>
      </c>
    </row>
    <row r="14" ht="15.75" customHeight="1">
      <c r="A14" s="16">
        <v>11.0</v>
      </c>
      <c r="B14" s="23">
        <v>0.0</v>
      </c>
      <c r="C14" s="16"/>
      <c r="D14" s="23">
        <v>1.0</v>
      </c>
      <c r="E14" s="16"/>
      <c r="F14" s="23">
        <v>1.0</v>
      </c>
      <c r="G14" s="16"/>
      <c r="H14" s="23">
        <v>0.0</v>
      </c>
      <c r="I14" s="16"/>
      <c r="J14" s="16">
        <v>12.0</v>
      </c>
      <c r="M14" s="16">
        <v>11.0</v>
      </c>
      <c r="N14" s="23">
        <v>3.0</v>
      </c>
      <c r="O14" s="16"/>
      <c r="P14" s="23">
        <v>1.0</v>
      </c>
      <c r="Q14" s="16"/>
      <c r="R14" s="23">
        <v>1.0</v>
      </c>
      <c r="S14" s="16"/>
      <c r="T14" s="16"/>
      <c r="U14" s="16"/>
      <c r="V14" s="34">
        <v>7.0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16">
        <v>7.0</v>
      </c>
    </row>
    <row r="15" ht="15.75" customHeight="1">
      <c r="A15" s="16">
        <v>12.0</v>
      </c>
      <c r="B15" s="23">
        <v>0.0</v>
      </c>
      <c r="C15" s="16"/>
      <c r="D15" s="23">
        <v>1.0</v>
      </c>
      <c r="E15" s="16"/>
      <c r="F15" s="23">
        <v>1.0</v>
      </c>
      <c r="G15" s="16"/>
      <c r="H15" s="23">
        <v>0.0</v>
      </c>
      <c r="I15" s="16"/>
      <c r="J15" s="16">
        <v>11.0</v>
      </c>
      <c r="M15" s="16">
        <v>12.0</v>
      </c>
      <c r="N15" s="23">
        <v>3.0</v>
      </c>
      <c r="O15" s="16"/>
      <c r="P15" s="23">
        <v>1.0</v>
      </c>
      <c r="Q15" s="16"/>
      <c r="R15" s="23">
        <v>1.0</v>
      </c>
      <c r="S15" s="16"/>
      <c r="T15" s="16"/>
      <c r="U15" s="16"/>
      <c r="V15" s="34">
        <v>8.0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16">
        <v>7.0</v>
      </c>
    </row>
    <row r="16" ht="15.75" customHeight="1">
      <c r="A16" s="16">
        <v>13.0</v>
      </c>
      <c r="B16" s="23">
        <v>0.0</v>
      </c>
      <c r="C16" s="16"/>
      <c r="D16" s="23">
        <v>1.0</v>
      </c>
      <c r="E16" s="16"/>
      <c r="F16" s="23">
        <v>1.0</v>
      </c>
      <c r="G16" s="16"/>
      <c r="H16" s="23">
        <v>0.0</v>
      </c>
      <c r="I16" s="16"/>
      <c r="J16" s="16">
        <v>13.0</v>
      </c>
      <c r="M16" s="16">
        <v>13.0</v>
      </c>
      <c r="N16" s="23">
        <v>3.0</v>
      </c>
      <c r="O16" s="16"/>
      <c r="P16" s="23">
        <v>1.0</v>
      </c>
      <c r="Q16" s="16"/>
      <c r="R16" s="23">
        <v>1.0</v>
      </c>
      <c r="S16" s="16"/>
      <c r="T16" s="16"/>
      <c r="U16" s="16"/>
      <c r="V16" s="34">
        <v>8.0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16">
        <v>6.0</v>
      </c>
    </row>
    <row r="17" ht="15.75" customHeight="1">
      <c r="A17" s="16">
        <v>14.0</v>
      </c>
      <c r="B17" s="23">
        <v>0.0</v>
      </c>
      <c r="C17" s="16"/>
      <c r="D17" s="23">
        <v>1.0</v>
      </c>
      <c r="E17" s="16"/>
      <c r="F17" s="23">
        <v>1.0</v>
      </c>
      <c r="G17" s="16"/>
      <c r="H17" s="23">
        <v>0.0</v>
      </c>
      <c r="I17" s="16"/>
      <c r="J17" s="16">
        <v>10.0</v>
      </c>
      <c r="M17" s="16">
        <v>14.0</v>
      </c>
      <c r="N17" s="23">
        <v>3.0</v>
      </c>
      <c r="O17" s="16"/>
      <c r="P17" s="23">
        <v>1.0</v>
      </c>
      <c r="Q17" s="16"/>
      <c r="R17" s="23">
        <v>1.0</v>
      </c>
      <c r="S17" s="16"/>
      <c r="T17" s="16"/>
      <c r="U17" s="16"/>
      <c r="V17" s="34">
        <v>7.0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16">
        <v>8.0</v>
      </c>
    </row>
    <row r="18" ht="15.75" customHeight="1">
      <c r="A18" s="16">
        <v>15.0</v>
      </c>
      <c r="B18" s="23">
        <v>0.0</v>
      </c>
      <c r="C18" s="16"/>
      <c r="D18" s="23">
        <v>1.0</v>
      </c>
      <c r="E18" s="16"/>
      <c r="F18" s="23">
        <v>1.0</v>
      </c>
      <c r="G18" s="16"/>
      <c r="H18" s="23">
        <v>0.0</v>
      </c>
      <c r="I18" s="16"/>
      <c r="J18" s="16">
        <v>11.0</v>
      </c>
      <c r="M18" s="16">
        <v>15.0</v>
      </c>
      <c r="N18" s="23">
        <v>3.0</v>
      </c>
      <c r="O18" s="16"/>
      <c r="P18" s="23">
        <v>1.0</v>
      </c>
      <c r="Q18" s="16"/>
      <c r="R18" s="23">
        <v>1.0</v>
      </c>
      <c r="S18" s="16"/>
      <c r="T18" s="16"/>
      <c r="U18" s="16"/>
      <c r="V18" s="34">
        <v>8.0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16">
        <v>8.0</v>
      </c>
    </row>
    <row r="19" ht="15.75" customHeight="1">
      <c r="A19" s="16">
        <v>16.0</v>
      </c>
      <c r="B19" s="23">
        <v>1.0</v>
      </c>
      <c r="C19" s="16"/>
      <c r="D19" s="23">
        <v>1.0</v>
      </c>
      <c r="E19" s="16"/>
      <c r="F19" s="23">
        <v>1.0</v>
      </c>
      <c r="G19" s="16"/>
      <c r="H19" s="23">
        <v>0.0</v>
      </c>
      <c r="I19" s="16"/>
      <c r="J19" s="16">
        <v>14.0</v>
      </c>
      <c r="M19" s="16">
        <v>16.0</v>
      </c>
      <c r="N19" s="23">
        <v>3.0</v>
      </c>
      <c r="O19" s="16"/>
      <c r="P19" s="23">
        <v>1.0</v>
      </c>
      <c r="Q19" s="16"/>
      <c r="R19" s="23">
        <v>1.0</v>
      </c>
      <c r="S19" s="16"/>
      <c r="T19" s="16"/>
      <c r="U19" s="16"/>
      <c r="V19" s="34">
        <v>7.0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16">
        <v>7.0</v>
      </c>
    </row>
    <row r="20" ht="15.75" customHeight="1">
      <c r="A20" s="16">
        <v>17.0</v>
      </c>
      <c r="B20" s="23">
        <v>1.0</v>
      </c>
      <c r="C20" s="23">
        <v>1.0</v>
      </c>
      <c r="D20" s="23">
        <v>1.0</v>
      </c>
      <c r="E20" s="16"/>
      <c r="F20" s="23">
        <v>1.0</v>
      </c>
      <c r="G20" s="23">
        <v>1.0</v>
      </c>
      <c r="H20" s="23">
        <v>0.0</v>
      </c>
      <c r="I20" s="23">
        <v>1.0</v>
      </c>
      <c r="J20" s="16">
        <v>15.0</v>
      </c>
      <c r="M20" s="16">
        <v>17.0</v>
      </c>
      <c r="N20" s="23">
        <v>1.0</v>
      </c>
      <c r="O20" s="16"/>
      <c r="P20" s="23">
        <v>1.0</v>
      </c>
      <c r="Q20" s="16"/>
      <c r="R20" s="23">
        <v>3.0</v>
      </c>
      <c r="S20" s="16"/>
      <c r="T20" s="16"/>
      <c r="U20" s="16"/>
      <c r="V20" s="34">
        <v>8.0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16">
        <v>8.0</v>
      </c>
    </row>
    <row r="21" ht="15.75" customHeight="1">
      <c r="A21" s="16">
        <v>18.0</v>
      </c>
      <c r="B21" s="23">
        <v>1.0</v>
      </c>
      <c r="C21" s="23">
        <v>1.0</v>
      </c>
      <c r="D21" s="23">
        <v>1.0</v>
      </c>
      <c r="E21" s="16"/>
      <c r="F21" s="23">
        <v>2.0</v>
      </c>
      <c r="G21" s="16"/>
      <c r="H21" s="23">
        <v>1.0</v>
      </c>
      <c r="I21" s="16"/>
      <c r="J21" s="16">
        <v>16.0</v>
      </c>
      <c r="M21" s="16">
        <v>18.0</v>
      </c>
      <c r="N21" s="23">
        <v>1.0</v>
      </c>
      <c r="O21" s="16"/>
      <c r="P21" s="23">
        <v>1.0</v>
      </c>
      <c r="Q21" s="16"/>
      <c r="R21" s="23">
        <v>3.0</v>
      </c>
      <c r="S21" s="16"/>
      <c r="T21" s="16"/>
      <c r="U21" s="16"/>
      <c r="V21" s="34">
        <v>8.0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16">
        <v>8.0</v>
      </c>
    </row>
    <row r="22" ht="15.75" customHeight="1">
      <c r="A22" s="16">
        <v>19.0</v>
      </c>
      <c r="B22" s="23">
        <v>2.0</v>
      </c>
      <c r="C22" s="23">
        <v>2.0</v>
      </c>
      <c r="D22" s="23">
        <v>1.0</v>
      </c>
      <c r="E22" s="16"/>
      <c r="F22" s="23">
        <v>2.0</v>
      </c>
      <c r="G22" s="16"/>
      <c r="H22" s="23">
        <v>1.0</v>
      </c>
      <c r="I22" s="16"/>
      <c r="J22" s="16">
        <v>17.0</v>
      </c>
      <c r="M22" s="16">
        <v>19.0</v>
      </c>
      <c r="N22" s="23">
        <v>1.0</v>
      </c>
      <c r="O22" s="16"/>
      <c r="P22" s="23">
        <v>1.0</v>
      </c>
      <c r="Q22" s="16"/>
      <c r="R22" s="23">
        <v>2.0</v>
      </c>
      <c r="S22" s="16"/>
      <c r="T22" s="16"/>
      <c r="U22" s="16"/>
      <c r="V22" s="34">
        <v>7.0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16">
        <v>6.0</v>
      </c>
    </row>
    <row r="23" ht="15.75" customHeight="1">
      <c r="A23" s="16">
        <v>20.0</v>
      </c>
      <c r="B23" s="23">
        <v>4.0</v>
      </c>
      <c r="C23" s="16"/>
      <c r="D23" s="23">
        <v>1.0</v>
      </c>
      <c r="E23" s="16"/>
      <c r="F23" s="23">
        <v>2.0</v>
      </c>
      <c r="G23" s="16"/>
      <c r="H23" s="23">
        <v>0.0</v>
      </c>
      <c r="I23" s="16"/>
      <c r="J23" s="16">
        <v>12.0</v>
      </c>
      <c r="M23" s="16">
        <v>20.0</v>
      </c>
      <c r="N23" s="23">
        <v>1.0</v>
      </c>
      <c r="O23" s="16"/>
      <c r="P23" s="23">
        <v>1.0</v>
      </c>
      <c r="Q23" s="16"/>
      <c r="R23" s="23">
        <v>2.0</v>
      </c>
      <c r="S23" s="16"/>
      <c r="T23" s="16"/>
      <c r="U23" s="16"/>
      <c r="V23" s="34">
        <v>7.0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16">
        <v>5.0</v>
      </c>
    </row>
    <row r="24" ht="15.75" customHeight="1">
      <c r="A24" s="16">
        <v>21.0</v>
      </c>
      <c r="B24" s="23">
        <v>4.0</v>
      </c>
      <c r="C24" s="16"/>
      <c r="D24" s="23">
        <v>1.0</v>
      </c>
      <c r="E24" s="16"/>
      <c r="F24" s="23">
        <v>2.0</v>
      </c>
      <c r="G24" s="23">
        <v>2.0</v>
      </c>
      <c r="H24" s="23">
        <v>0.0</v>
      </c>
      <c r="I24" s="16"/>
      <c r="J24" s="16">
        <v>13.0</v>
      </c>
      <c r="M24" s="16">
        <v>21.0</v>
      </c>
      <c r="N24" s="23">
        <v>1.0</v>
      </c>
      <c r="O24" s="16"/>
      <c r="P24" s="23">
        <v>1.0</v>
      </c>
      <c r="Q24" s="16"/>
      <c r="R24" s="23">
        <v>2.0</v>
      </c>
      <c r="S24" s="16"/>
      <c r="T24" s="16"/>
      <c r="U24" s="16"/>
      <c r="V24" s="34">
        <v>7.0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16">
        <v>5.0</v>
      </c>
    </row>
    <row r="25" ht="15.75" customHeight="1">
      <c r="A25" s="16">
        <v>22.0</v>
      </c>
      <c r="B25" s="23">
        <v>6.0</v>
      </c>
      <c r="C25" s="16"/>
      <c r="D25" s="23">
        <v>1.0</v>
      </c>
      <c r="E25" s="16"/>
      <c r="F25" s="23">
        <v>4.0</v>
      </c>
      <c r="G25" s="16"/>
      <c r="H25" s="23">
        <v>0.0</v>
      </c>
      <c r="I25" s="16"/>
      <c r="J25" s="16">
        <v>17.0</v>
      </c>
      <c r="M25" s="16">
        <v>22.0</v>
      </c>
      <c r="N25" s="23">
        <v>1.0</v>
      </c>
      <c r="O25" s="16"/>
      <c r="P25" s="23">
        <v>1.0</v>
      </c>
      <c r="Q25" s="16"/>
      <c r="R25" s="23">
        <v>2.0</v>
      </c>
      <c r="S25" s="16"/>
      <c r="T25" s="16"/>
      <c r="U25" s="16"/>
      <c r="V25" s="34">
        <v>9.0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16">
        <v>5.0</v>
      </c>
    </row>
    <row r="26" ht="15.75" customHeight="1">
      <c r="A26" s="23">
        <v>23.0</v>
      </c>
      <c r="B26" s="23">
        <v>6.0</v>
      </c>
      <c r="C26" s="16"/>
      <c r="D26" s="23">
        <v>1.0</v>
      </c>
      <c r="E26" s="16"/>
      <c r="F26" s="23">
        <v>4.0</v>
      </c>
      <c r="G26" s="16"/>
      <c r="H26" s="23">
        <v>0.0</v>
      </c>
      <c r="I26" s="16"/>
      <c r="J26" s="16">
        <v>14.0</v>
      </c>
      <c r="M26" s="16">
        <v>23.0</v>
      </c>
      <c r="N26" s="23">
        <v>1.0</v>
      </c>
      <c r="O26" s="23">
        <v>1.0</v>
      </c>
      <c r="P26" s="23">
        <v>1.0</v>
      </c>
      <c r="Q26" s="16"/>
      <c r="R26" s="23">
        <v>2.0</v>
      </c>
      <c r="S26" s="16"/>
      <c r="T26" s="16"/>
      <c r="U26" s="16"/>
      <c r="V26" s="34">
        <v>5.0</v>
      </c>
      <c r="AF26" s="16"/>
      <c r="AG26" s="16"/>
      <c r="AH26" s="16">
        <v>5.0</v>
      </c>
    </row>
    <row r="27" ht="15.75" customHeight="1">
      <c r="A27" s="23">
        <v>24.0</v>
      </c>
      <c r="B27" s="23">
        <v>6.0</v>
      </c>
      <c r="C27" s="16"/>
      <c r="D27" s="23">
        <v>1.0</v>
      </c>
      <c r="E27" s="16"/>
      <c r="F27" s="23">
        <v>2.0</v>
      </c>
      <c r="G27" s="16"/>
      <c r="H27" s="23">
        <v>0.0</v>
      </c>
      <c r="I27" s="16"/>
      <c r="J27" s="16">
        <v>11.0</v>
      </c>
      <c r="M27" s="16">
        <v>24.0</v>
      </c>
      <c r="N27" s="23">
        <v>2.0</v>
      </c>
      <c r="O27" s="16"/>
      <c r="P27" s="23">
        <v>1.0</v>
      </c>
      <c r="Q27" s="16"/>
      <c r="R27" s="23">
        <v>2.0</v>
      </c>
      <c r="S27" s="16"/>
      <c r="T27" s="16"/>
      <c r="U27" s="16"/>
      <c r="V27" s="34">
        <v>7.0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16">
        <v>6.0</v>
      </c>
    </row>
    <row r="28" ht="15.75" customHeight="1">
      <c r="A28" s="16">
        <v>25.0</v>
      </c>
      <c r="B28" s="23">
        <v>5.0</v>
      </c>
      <c r="C28" s="16"/>
      <c r="D28" s="23">
        <v>1.0</v>
      </c>
      <c r="E28" s="16"/>
      <c r="F28" s="23">
        <v>2.0</v>
      </c>
      <c r="G28" s="16"/>
      <c r="H28" s="23">
        <v>0.0</v>
      </c>
      <c r="I28" s="16"/>
      <c r="J28" s="16">
        <v>15.0</v>
      </c>
      <c r="M28" s="16">
        <v>25.0</v>
      </c>
      <c r="N28" s="23">
        <v>2.0</v>
      </c>
      <c r="O28" s="16"/>
      <c r="P28" s="23">
        <v>1.0</v>
      </c>
      <c r="Q28" s="16"/>
      <c r="R28" s="23">
        <v>2.0</v>
      </c>
      <c r="S28" s="16"/>
      <c r="T28" s="16"/>
      <c r="U28" s="16"/>
      <c r="V28" s="34">
        <v>7.0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16">
        <v>4.0</v>
      </c>
    </row>
    <row r="29" ht="15.75" customHeight="1">
      <c r="A29" s="16">
        <v>26.0</v>
      </c>
      <c r="B29" s="23">
        <v>3.0</v>
      </c>
      <c r="C29" s="16"/>
      <c r="D29" s="23">
        <v>1.0</v>
      </c>
      <c r="E29" s="16"/>
      <c r="F29" s="23">
        <v>2.0</v>
      </c>
      <c r="G29" s="16"/>
      <c r="H29" s="23">
        <v>0.0</v>
      </c>
      <c r="I29" s="16"/>
      <c r="J29" s="16">
        <v>16.0</v>
      </c>
      <c r="M29" s="16">
        <v>26.0</v>
      </c>
      <c r="N29" s="23">
        <v>2.0</v>
      </c>
      <c r="O29" s="16"/>
      <c r="P29" s="23">
        <v>1.0</v>
      </c>
      <c r="Q29" s="16"/>
      <c r="R29" s="23">
        <v>2.0</v>
      </c>
      <c r="S29" s="16"/>
      <c r="T29" s="16"/>
      <c r="U29" s="16"/>
      <c r="V29" s="34">
        <v>8.0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16">
        <v>4.0</v>
      </c>
    </row>
    <row r="30" ht="15.75" customHeight="1">
      <c r="A30" s="16">
        <v>27.0</v>
      </c>
      <c r="B30" s="23">
        <v>3.0</v>
      </c>
      <c r="C30" s="16"/>
      <c r="D30" s="23">
        <v>1.0</v>
      </c>
      <c r="E30" s="16"/>
      <c r="F30" s="23">
        <v>2.0</v>
      </c>
      <c r="G30" s="16"/>
      <c r="H30" s="23">
        <v>0.0</v>
      </c>
      <c r="I30" s="16"/>
      <c r="J30" s="16">
        <v>14.0</v>
      </c>
      <c r="M30" s="16">
        <v>27.0</v>
      </c>
      <c r="N30" s="23">
        <v>2.0</v>
      </c>
      <c r="O30" s="16"/>
      <c r="P30" s="23">
        <v>1.0</v>
      </c>
      <c r="Q30" s="16"/>
      <c r="R30" s="23">
        <v>2.0</v>
      </c>
      <c r="S30" s="16"/>
      <c r="T30" s="16"/>
      <c r="U30" s="16"/>
      <c r="V30" s="34">
        <v>10.0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16">
        <v>4.0</v>
      </c>
    </row>
    <row r="31" ht="15.75" customHeight="1">
      <c r="A31" s="16">
        <v>28.0</v>
      </c>
      <c r="B31" s="23">
        <v>3.0</v>
      </c>
      <c r="C31" s="16"/>
      <c r="D31" s="23">
        <v>1.0</v>
      </c>
      <c r="E31" s="16"/>
      <c r="F31" s="23">
        <v>3.0</v>
      </c>
      <c r="G31" s="16"/>
      <c r="H31" s="23">
        <v>0.0</v>
      </c>
      <c r="I31" s="23">
        <v>1.0</v>
      </c>
      <c r="J31" s="16">
        <v>16.0</v>
      </c>
      <c r="M31" s="16">
        <v>28.0</v>
      </c>
      <c r="N31" s="23">
        <v>2.0</v>
      </c>
      <c r="O31" s="16"/>
      <c r="P31" s="23">
        <v>1.0</v>
      </c>
      <c r="Q31" s="16"/>
      <c r="R31" s="23">
        <v>2.0</v>
      </c>
      <c r="S31" s="16"/>
      <c r="T31" s="16"/>
      <c r="U31" s="16"/>
      <c r="V31" s="34">
        <v>7.0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16">
        <v>4.0</v>
      </c>
    </row>
    <row r="32" ht="15.75" customHeight="1">
      <c r="A32" s="16">
        <v>29.0</v>
      </c>
      <c r="B32" s="23">
        <v>3.0</v>
      </c>
      <c r="C32" s="16"/>
      <c r="D32" s="23">
        <v>1.0</v>
      </c>
      <c r="E32" s="16"/>
      <c r="F32" s="23">
        <v>3.0</v>
      </c>
      <c r="G32" s="16"/>
      <c r="H32" s="23">
        <v>1.0</v>
      </c>
      <c r="I32" s="16"/>
      <c r="J32" s="16">
        <v>19.0</v>
      </c>
      <c r="M32" s="16">
        <v>29.0</v>
      </c>
      <c r="N32" s="23">
        <v>2.0</v>
      </c>
      <c r="O32" s="16"/>
      <c r="P32" s="23">
        <v>1.0</v>
      </c>
      <c r="Q32" s="16"/>
      <c r="R32" s="23">
        <v>2.0</v>
      </c>
      <c r="S32" s="16"/>
      <c r="T32" s="16"/>
      <c r="U32" s="16"/>
      <c r="V32" s="34">
        <v>10.0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16">
        <v>4.0</v>
      </c>
    </row>
    <row r="33" ht="15.75" customHeight="1">
      <c r="A33" s="16">
        <v>30.0</v>
      </c>
      <c r="B33" s="23">
        <v>2.0</v>
      </c>
      <c r="C33" s="23">
        <v>1.0</v>
      </c>
      <c r="D33" s="23">
        <v>1.0</v>
      </c>
      <c r="E33" s="16"/>
      <c r="F33" s="23">
        <v>1.0</v>
      </c>
      <c r="G33" s="16"/>
      <c r="H33" s="23">
        <v>1.0</v>
      </c>
      <c r="I33" s="16"/>
      <c r="J33" s="16">
        <v>17.0</v>
      </c>
      <c r="M33" s="16">
        <v>30.0</v>
      </c>
      <c r="N33" s="23">
        <v>2.0</v>
      </c>
      <c r="O33" s="16"/>
      <c r="P33" s="23">
        <v>2.0</v>
      </c>
      <c r="Q33" s="23">
        <v>2.0</v>
      </c>
      <c r="R33" s="23">
        <v>3.0</v>
      </c>
      <c r="S33" s="16"/>
      <c r="T33" s="16"/>
      <c r="U33" s="16"/>
      <c r="V33" s="34">
        <v>9.0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16">
        <v>4.0</v>
      </c>
    </row>
    <row r="34" ht="15.75" customHeight="1">
      <c r="A34" s="16">
        <v>31.0</v>
      </c>
      <c r="B34" s="23">
        <v>2.0</v>
      </c>
      <c r="C34" s="16"/>
      <c r="D34" s="23">
        <v>1.0</v>
      </c>
      <c r="E34" s="16"/>
      <c r="F34" s="23">
        <v>1.0</v>
      </c>
      <c r="G34" s="16"/>
      <c r="H34" s="23">
        <v>1.0</v>
      </c>
      <c r="I34" s="10"/>
      <c r="J34" s="16">
        <v>17.0</v>
      </c>
      <c r="M34" s="16">
        <v>31.0</v>
      </c>
      <c r="N34" s="23">
        <v>2.0</v>
      </c>
      <c r="O34" s="23">
        <v>1.0</v>
      </c>
      <c r="P34" s="23">
        <v>3.0</v>
      </c>
      <c r="Q34" s="16"/>
      <c r="R34" s="23">
        <v>3.0</v>
      </c>
      <c r="S34" s="10"/>
      <c r="T34" s="10"/>
      <c r="U34" s="10"/>
      <c r="V34" s="36">
        <v>10.0</v>
      </c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6">
        <v>4.0</v>
      </c>
    </row>
    <row r="35" ht="15.75" customHeight="1">
      <c r="A35" s="28" t="s">
        <v>11</v>
      </c>
      <c r="B35" s="28">
        <f t="shared" ref="B35:J35" si="1">SUM(B4:B34)</f>
        <v>52</v>
      </c>
      <c r="C35" s="28">
        <f t="shared" si="1"/>
        <v>6</v>
      </c>
      <c r="D35" s="28">
        <f t="shared" si="1"/>
        <v>32</v>
      </c>
      <c r="E35" s="28">
        <f t="shared" si="1"/>
        <v>0</v>
      </c>
      <c r="F35" s="28">
        <f t="shared" si="1"/>
        <v>48</v>
      </c>
      <c r="G35" s="28">
        <f t="shared" si="1"/>
        <v>4</v>
      </c>
      <c r="H35" s="28">
        <f t="shared" si="1"/>
        <v>5</v>
      </c>
      <c r="I35" s="28">
        <f t="shared" si="1"/>
        <v>2</v>
      </c>
      <c r="J35" s="28">
        <f t="shared" si="1"/>
        <v>457</v>
      </c>
      <c r="M35" s="28" t="s">
        <v>11</v>
      </c>
      <c r="N35" s="28">
        <f t="shared" ref="N35:V35" si="2">SUM(N4:N34)</f>
        <v>53</v>
      </c>
      <c r="O35" s="28">
        <f t="shared" si="2"/>
        <v>4</v>
      </c>
      <c r="P35" s="28">
        <f t="shared" si="2"/>
        <v>34</v>
      </c>
      <c r="Q35" s="28">
        <f t="shared" si="2"/>
        <v>2</v>
      </c>
      <c r="R35" s="28">
        <f t="shared" si="2"/>
        <v>50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244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171</v>
      </c>
    </row>
    <row r="36" ht="15.75" customHeight="1">
      <c r="A36" s="29" t="s">
        <v>12</v>
      </c>
      <c r="B36" s="28">
        <f t="shared" ref="B36:I36" si="4">(B35/$J$35)*1000</f>
        <v>113.785558</v>
      </c>
      <c r="C36" s="28">
        <f t="shared" si="4"/>
        <v>13.12910284</v>
      </c>
      <c r="D36" s="28">
        <f t="shared" si="4"/>
        <v>70.02188184</v>
      </c>
      <c r="E36" s="28">
        <f t="shared" si="4"/>
        <v>0</v>
      </c>
      <c r="F36" s="28">
        <f t="shared" si="4"/>
        <v>105.0328228</v>
      </c>
      <c r="G36" s="28">
        <f t="shared" si="4"/>
        <v>8.75273523</v>
      </c>
      <c r="H36" s="28">
        <f t="shared" si="4"/>
        <v>10.94091904</v>
      </c>
      <c r="I36" s="28">
        <f t="shared" si="4"/>
        <v>4.376367615</v>
      </c>
      <c r="J36" s="28">
        <f>(J35/$J$35)*100</f>
        <v>100</v>
      </c>
      <c r="M36" s="29" t="s">
        <v>12</v>
      </c>
      <c r="N36" s="28">
        <f t="shared" ref="N36:U36" si="5">(N35/$V$35)*100</f>
        <v>21.72131148</v>
      </c>
      <c r="O36" s="28">
        <f t="shared" si="5"/>
        <v>1.639344262</v>
      </c>
      <c r="P36" s="28">
        <f t="shared" si="5"/>
        <v>13.93442623</v>
      </c>
      <c r="Q36" s="28">
        <f t="shared" si="5"/>
        <v>0.8196721311</v>
      </c>
      <c r="R36" s="28">
        <f t="shared" si="5"/>
        <v>20.49180328</v>
      </c>
      <c r="S36" s="28">
        <f t="shared" si="5"/>
        <v>0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15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>
        <v>6.0</v>
      </c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3.0</v>
      </c>
      <c r="C4" s="16"/>
      <c r="D4" s="23">
        <v>1.0</v>
      </c>
      <c r="E4" s="16"/>
      <c r="F4" s="23">
        <v>1.0</v>
      </c>
      <c r="G4" s="16"/>
      <c r="H4" s="23">
        <v>1.0</v>
      </c>
      <c r="I4" s="10"/>
      <c r="J4" s="27">
        <v>20.0</v>
      </c>
      <c r="M4" s="16">
        <v>1.0</v>
      </c>
      <c r="N4" s="23">
        <v>2.0</v>
      </c>
      <c r="O4" s="16"/>
      <c r="P4" s="23">
        <v>3.0</v>
      </c>
      <c r="Q4" s="16"/>
      <c r="R4" s="23">
        <v>3.0</v>
      </c>
      <c r="S4" s="10"/>
      <c r="T4" s="10"/>
      <c r="U4" s="10"/>
      <c r="V4" s="10"/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23">
        <v>4.0</v>
      </c>
    </row>
    <row r="5" ht="15.75" customHeight="1">
      <c r="A5" s="16">
        <v>2.0</v>
      </c>
      <c r="B5" s="23">
        <v>5.0</v>
      </c>
      <c r="C5" s="16"/>
      <c r="D5" s="23">
        <v>1.0</v>
      </c>
      <c r="E5" s="16"/>
      <c r="F5" s="23">
        <v>1.0</v>
      </c>
      <c r="G5" s="16"/>
      <c r="H5" s="23">
        <v>1.0</v>
      </c>
      <c r="I5" s="16"/>
      <c r="J5" s="23">
        <v>17.0</v>
      </c>
      <c r="M5" s="16">
        <v>2.0</v>
      </c>
      <c r="N5" s="23">
        <v>2.0</v>
      </c>
      <c r="O5" s="16"/>
      <c r="P5" s="23">
        <v>3.0</v>
      </c>
      <c r="Q5" s="16"/>
      <c r="R5" s="23">
        <v>3.0</v>
      </c>
      <c r="S5" s="10"/>
      <c r="T5" s="10"/>
      <c r="U5" s="10"/>
      <c r="V5" s="16"/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23">
        <v>5.0</v>
      </c>
    </row>
    <row r="6" ht="15.75" customHeight="1">
      <c r="A6" s="16">
        <v>3.0</v>
      </c>
      <c r="B6" s="23">
        <v>5.0</v>
      </c>
      <c r="C6" s="16"/>
      <c r="D6" s="23">
        <v>1.0</v>
      </c>
      <c r="E6" s="16"/>
      <c r="F6" s="23">
        <v>1.0</v>
      </c>
      <c r="G6" s="16"/>
      <c r="H6" s="23">
        <v>1.0</v>
      </c>
      <c r="I6" s="16"/>
      <c r="J6" s="23">
        <v>16.0</v>
      </c>
      <c r="M6" s="16">
        <v>3.0</v>
      </c>
      <c r="N6" s="23">
        <v>2.0</v>
      </c>
      <c r="O6" s="16"/>
      <c r="P6" s="23">
        <v>3.0</v>
      </c>
      <c r="Q6" s="16"/>
      <c r="R6" s="23">
        <v>3.0</v>
      </c>
      <c r="S6" s="10"/>
      <c r="T6" s="10"/>
      <c r="U6" s="10"/>
      <c r="V6" s="16"/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23">
        <v>4.0</v>
      </c>
    </row>
    <row r="7" ht="15.75" customHeight="1">
      <c r="A7" s="16">
        <v>4.0</v>
      </c>
      <c r="B7" s="23">
        <v>6.0</v>
      </c>
      <c r="C7" s="23"/>
      <c r="D7" s="23">
        <v>1.0</v>
      </c>
      <c r="E7" s="16"/>
      <c r="F7" s="23">
        <v>0.0</v>
      </c>
      <c r="G7" s="16"/>
      <c r="H7" s="23">
        <v>1.0</v>
      </c>
      <c r="I7" s="16"/>
      <c r="J7" s="23">
        <v>18.0</v>
      </c>
      <c r="M7" s="16">
        <v>4.0</v>
      </c>
      <c r="N7" s="23">
        <v>2.0</v>
      </c>
      <c r="O7" s="16"/>
      <c r="P7" s="23">
        <v>3.0</v>
      </c>
      <c r="Q7" s="16"/>
      <c r="R7" s="23">
        <v>3.0</v>
      </c>
      <c r="S7" s="10"/>
      <c r="T7" s="10"/>
      <c r="U7" s="10"/>
      <c r="V7" s="16"/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23">
        <v>5.0</v>
      </c>
    </row>
    <row r="8" ht="15.75" customHeight="1">
      <c r="A8" s="16">
        <v>5.0</v>
      </c>
      <c r="B8" s="23">
        <v>7.0</v>
      </c>
      <c r="C8" s="16"/>
      <c r="D8" s="23">
        <v>1.0</v>
      </c>
      <c r="E8" s="16"/>
      <c r="F8" s="23">
        <v>0.0</v>
      </c>
      <c r="G8" s="16"/>
      <c r="H8" s="23">
        <v>1.0</v>
      </c>
      <c r="I8" s="16"/>
      <c r="J8" s="23">
        <v>19.0</v>
      </c>
      <c r="M8" s="16">
        <v>5.0</v>
      </c>
      <c r="N8" s="23">
        <v>2.0</v>
      </c>
      <c r="O8" s="16"/>
      <c r="P8" s="23">
        <v>3.0</v>
      </c>
      <c r="Q8" s="16"/>
      <c r="R8" s="23">
        <v>3.0</v>
      </c>
      <c r="S8" s="10"/>
      <c r="T8" s="10"/>
      <c r="U8" s="10"/>
      <c r="V8" s="16"/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23">
        <v>4.0</v>
      </c>
    </row>
    <row r="9" ht="15.75" customHeight="1">
      <c r="A9" s="16">
        <v>6.0</v>
      </c>
      <c r="B9" s="23">
        <v>7.0</v>
      </c>
      <c r="C9" s="16"/>
      <c r="D9" s="23">
        <v>1.0</v>
      </c>
      <c r="E9" s="16"/>
      <c r="F9" s="23">
        <v>0.0</v>
      </c>
      <c r="G9" s="16"/>
      <c r="H9" s="23">
        <v>1.0</v>
      </c>
      <c r="I9" s="16"/>
      <c r="J9" s="23">
        <v>19.0</v>
      </c>
      <c r="M9" s="16">
        <v>6.0</v>
      </c>
      <c r="N9" s="23">
        <v>2.0</v>
      </c>
      <c r="O9" s="16"/>
      <c r="P9" s="23">
        <v>3.0</v>
      </c>
      <c r="Q9" s="23">
        <v>1.0</v>
      </c>
      <c r="R9" s="23">
        <v>3.0</v>
      </c>
      <c r="S9" s="10"/>
      <c r="T9" s="10"/>
      <c r="U9" s="10"/>
      <c r="V9" s="16"/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23">
        <v>4.0</v>
      </c>
    </row>
    <row r="10" ht="15.75" customHeight="1">
      <c r="A10" s="16">
        <v>7.0</v>
      </c>
      <c r="B10" s="23">
        <v>6.0</v>
      </c>
      <c r="C10" s="23">
        <v>2.0</v>
      </c>
      <c r="D10" s="23">
        <v>1.0</v>
      </c>
      <c r="E10" s="16"/>
      <c r="F10" s="23">
        <v>0.0</v>
      </c>
      <c r="G10" s="16"/>
      <c r="H10" s="23">
        <v>1.0</v>
      </c>
      <c r="I10" s="16"/>
      <c r="J10" s="23">
        <v>17.0</v>
      </c>
      <c r="M10" s="16">
        <v>7.0</v>
      </c>
      <c r="N10" s="23">
        <v>2.0</v>
      </c>
      <c r="O10" s="23">
        <v>1.0</v>
      </c>
      <c r="P10" s="23">
        <v>4.0</v>
      </c>
      <c r="Q10" s="16"/>
      <c r="R10" s="23">
        <v>3.0</v>
      </c>
      <c r="S10" s="10"/>
      <c r="T10" s="10"/>
      <c r="U10" s="10"/>
      <c r="V10" s="23">
        <v>9.0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23">
        <v>5.0</v>
      </c>
    </row>
    <row r="11" ht="15.75" customHeight="1">
      <c r="A11" s="16">
        <v>8.0</v>
      </c>
      <c r="B11" s="23">
        <v>7.0</v>
      </c>
      <c r="C11" s="16"/>
      <c r="D11" s="23">
        <v>1.0</v>
      </c>
      <c r="E11" s="16"/>
      <c r="F11" s="23">
        <v>0.0</v>
      </c>
      <c r="G11" s="16"/>
      <c r="H11" s="23">
        <v>1.0</v>
      </c>
      <c r="I11" s="16"/>
      <c r="J11" s="23">
        <v>10.0</v>
      </c>
      <c r="M11" s="16">
        <v>8.0</v>
      </c>
      <c r="N11" s="23">
        <v>3.0</v>
      </c>
      <c r="O11" s="16"/>
      <c r="P11" s="23">
        <v>4.0</v>
      </c>
      <c r="Q11" s="16"/>
      <c r="R11" s="23">
        <v>3.0</v>
      </c>
      <c r="S11" s="10"/>
      <c r="T11" s="10"/>
      <c r="U11" s="10"/>
      <c r="V11" s="23">
        <v>10.0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23">
        <v>4.0</v>
      </c>
    </row>
    <row r="12" ht="15.75" customHeight="1">
      <c r="A12" s="16">
        <v>9.0</v>
      </c>
      <c r="B12" s="23">
        <v>8.0</v>
      </c>
      <c r="C12" s="23">
        <v>1.0</v>
      </c>
      <c r="D12" s="23">
        <v>1.0</v>
      </c>
      <c r="E12" s="16"/>
      <c r="F12" s="23">
        <v>1.0</v>
      </c>
      <c r="G12" s="23">
        <v>1.0</v>
      </c>
      <c r="H12" s="23">
        <v>1.0</v>
      </c>
      <c r="I12" s="16"/>
      <c r="J12" s="23">
        <v>14.0</v>
      </c>
      <c r="M12" s="16">
        <v>9.0</v>
      </c>
      <c r="N12" s="23">
        <v>4.0</v>
      </c>
      <c r="O12" s="16"/>
      <c r="P12" s="23">
        <v>4.0</v>
      </c>
      <c r="Q12" s="16"/>
      <c r="R12" s="23">
        <v>3.0</v>
      </c>
      <c r="S12" s="10"/>
      <c r="T12" s="10"/>
      <c r="U12" s="10"/>
      <c r="V12" s="23">
        <v>9.0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23">
        <v>4.0</v>
      </c>
    </row>
    <row r="13" ht="15.75" customHeight="1">
      <c r="A13" s="16">
        <v>10.0</v>
      </c>
      <c r="B13" s="23">
        <v>8.0</v>
      </c>
      <c r="C13" s="16"/>
      <c r="D13" s="23">
        <v>1.0</v>
      </c>
      <c r="E13" s="16"/>
      <c r="F13" s="23">
        <v>1.0</v>
      </c>
      <c r="G13" s="16"/>
      <c r="H13" s="23">
        <v>1.0</v>
      </c>
      <c r="I13" s="16"/>
      <c r="J13" s="23">
        <v>19.0</v>
      </c>
      <c r="M13" s="16">
        <v>10.0</v>
      </c>
      <c r="N13" s="23">
        <v>4.0</v>
      </c>
      <c r="O13" s="23"/>
      <c r="P13" s="23">
        <v>5.0</v>
      </c>
      <c r="Q13" s="23"/>
      <c r="R13" s="23">
        <v>3.0</v>
      </c>
      <c r="S13" s="23"/>
      <c r="T13" s="23"/>
      <c r="U13" s="23"/>
      <c r="V13" s="23">
        <v>10.0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23">
        <v>6.0</v>
      </c>
    </row>
    <row r="14" ht="15.75" customHeight="1">
      <c r="A14" s="16">
        <v>11.0</v>
      </c>
      <c r="B14" s="23">
        <v>8.0</v>
      </c>
      <c r="C14" s="16"/>
      <c r="D14" s="23">
        <v>1.0</v>
      </c>
      <c r="E14" s="16"/>
      <c r="F14" s="23">
        <v>1.0</v>
      </c>
      <c r="G14" s="16"/>
      <c r="H14" s="23">
        <v>1.0</v>
      </c>
      <c r="I14" s="16"/>
      <c r="J14" s="23">
        <v>17.0</v>
      </c>
      <c r="M14" s="16">
        <v>11.0</v>
      </c>
      <c r="N14" s="23">
        <v>3.0</v>
      </c>
      <c r="O14" s="23">
        <v>1.0</v>
      </c>
      <c r="P14" s="23">
        <v>5.0</v>
      </c>
      <c r="Q14" s="23"/>
      <c r="R14" s="23">
        <v>3.0</v>
      </c>
      <c r="S14" s="23"/>
      <c r="T14" s="23"/>
      <c r="U14" s="16"/>
      <c r="V14" s="23">
        <v>7.0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23">
        <v>8.0</v>
      </c>
    </row>
    <row r="15" ht="15.75" customHeight="1">
      <c r="A15" s="16">
        <v>12.0</v>
      </c>
      <c r="B15" s="23">
        <v>6.0</v>
      </c>
      <c r="C15" s="16"/>
      <c r="D15" s="23">
        <v>1.0</v>
      </c>
      <c r="E15" s="16"/>
      <c r="F15" s="23">
        <v>1.0</v>
      </c>
      <c r="G15" s="16"/>
      <c r="H15" s="23">
        <v>1.0</v>
      </c>
      <c r="I15" s="16"/>
      <c r="J15" s="23">
        <v>18.0</v>
      </c>
      <c r="M15" s="16">
        <v>12.0</v>
      </c>
      <c r="N15" s="23">
        <v>4.0</v>
      </c>
      <c r="O15" s="16"/>
      <c r="P15" s="23">
        <v>5.0</v>
      </c>
      <c r="Q15" s="23"/>
      <c r="R15" s="23">
        <v>3.0</v>
      </c>
      <c r="S15" s="23"/>
      <c r="T15" s="23"/>
      <c r="U15" s="16"/>
      <c r="V15" s="23">
        <v>10.0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23">
        <v>6.0</v>
      </c>
    </row>
    <row r="16" ht="15.75" customHeight="1">
      <c r="A16" s="16">
        <v>13.0</v>
      </c>
      <c r="B16" s="23">
        <v>7.0</v>
      </c>
      <c r="C16" s="23">
        <v>2.0</v>
      </c>
      <c r="D16" s="23">
        <v>1.0</v>
      </c>
      <c r="E16" s="16"/>
      <c r="F16" s="23">
        <v>1.0</v>
      </c>
      <c r="G16" s="16"/>
      <c r="H16" s="23">
        <v>1.0</v>
      </c>
      <c r="I16" s="16"/>
      <c r="J16" s="23">
        <v>17.0</v>
      </c>
      <c r="M16" s="16">
        <v>13.0</v>
      </c>
      <c r="N16" s="23">
        <v>4.0</v>
      </c>
      <c r="O16" s="16"/>
      <c r="P16" s="23">
        <v>5.0</v>
      </c>
      <c r="Q16" s="23"/>
      <c r="R16" s="23">
        <v>3.0</v>
      </c>
      <c r="S16" s="23"/>
      <c r="T16" s="16"/>
      <c r="U16" s="16"/>
      <c r="V16" s="23">
        <v>10.0</v>
      </c>
      <c r="Y16" s="16">
        <v>13.0</v>
      </c>
      <c r="Z16" s="16"/>
      <c r="AA16" s="23">
        <v>1.0</v>
      </c>
      <c r="AB16" s="16"/>
      <c r="AC16" s="16"/>
      <c r="AD16" s="16"/>
      <c r="AE16" s="16"/>
      <c r="AF16" s="16"/>
      <c r="AG16" s="16"/>
      <c r="AH16" s="23">
        <v>7.0</v>
      </c>
    </row>
    <row r="17" ht="15.75" customHeight="1">
      <c r="A17" s="16">
        <v>14.0</v>
      </c>
      <c r="B17" s="23">
        <v>8.0</v>
      </c>
      <c r="C17" s="16"/>
      <c r="D17" s="23">
        <v>1.0</v>
      </c>
      <c r="E17" s="16"/>
      <c r="F17" s="23">
        <v>1.0</v>
      </c>
      <c r="G17" s="16"/>
      <c r="H17" s="23">
        <v>1.0</v>
      </c>
      <c r="I17" s="16"/>
      <c r="J17" s="23">
        <v>15.0</v>
      </c>
      <c r="M17" s="16">
        <v>14.0</v>
      </c>
      <c r="N17" s="23">
        <v>5.0</v>
      </c>
      <c r="O17" s="23">
        <v>1.0</v>
      </c>
      <c r="P17" s="23">
        <v>5.0</v>
      </c>
      <c r="Q17" s="23"/>
      <c r="R17" s="23">
        <v>3.0</v>
      </c>
      <c r="S17" s="23"/>
      <c r="T17" s="16"/>
      <c r="U17" s="16"/>
      <c r="V17" s="23">
        <v>8.0</v>
      </c>
      <c r="Y17" s="16">
        <v>14.0</v>
      </c>
      <c r="Z17" s="23">
        <v>1.0</v>
      </c>
      <c r="AA17" s="16"/>
      <c r="AB17" s="16"/>
      <c r="AC17" s="16"/>
      <c r="AD17" s="16"/>
      <c r="AE17" s="16"/>
      <c r="AF17" s="16"/>
      <c r="AG17" s="16"/>
      <c r="AH17" s="23">
        <v>2.0</v>
      </c>
    </row>
    <row r="18" ht="15.75" customHeight="1">
      <c r="A18" s="16">
        <v>15.0</v>
      </c>
      <c r="B18" s="23">
        <v>7.0</v>
      </c>
      <c r="C18" s="16"/>
      <c r="D18" s="23">
        <v>1.0</v>
      </c>
      <c r="E18" s="16"/>
      <c r="F18" s="23">
        <v>1.0</v>
      </c>
      <c r="G18" s="16"/>
      <c r="H18" s="23">
        <v>1.0</v>
      </c>
      <c r="I18" s="16"/>
      <c r="J18" s="23">
        <v>16.0</v>
      </c>
      <c r="M18" s="16">
        <v>15.0</v>
      </c>
      <c r="N18" s="23">
        <v>4.0</v>
      </c>
      <c r="O18" s="16"/>
      <c r="P18" s="23">
        <v>5.0</v>
      </c>
      <c r="Q18" s="23"/>
      <c r="R18" s="23">
        <v>3.0</v>
      </c>
      <c r="S18" s="23"/>
      <c r="T18" s="16"/>
      <c r="U18" s="16"/>
      <c r="V18" s="23">
        <v>8.0</v>
      </c>
      <c r="Y18" s="16">
        <v>15.0</v>
      </c>
      <c r="Z18" s="23">
        <v>1.0</v>
      </c>
      <c r="AA18" s="16"/>
      <c r="AB18" s="16"/>
      <c r="AC18" s="16"/>
      <c r="AD18" s="16"/>
      <c r="AE18" s="16"/>
      <c r="AF18" s="16"/>
      <c r="AG18" s="16"/>
      <c r="AH18" s="23">
        <v>6.0</v>
      </c>
    </row>
    <row r="19" ht="15.75" customHeight="1">
      <c r="A19" s="16">
        <v>16.0</v>
      </c>
      <c r="B19" s="23">
        <v>8.0</v>
      </c>
      <c r="C19" s="16"/>
      <c r="D19" s="23">
        <v>1.0</v>
      </c>
      <c r="E19" s="16"/>
      <c r="F19" s="23">
        <v>1.0</v>
      </c>
      <c r="G19" s="16"/>
      <c r="H19" s="23">
        <v>1.0</v>
      </c>
      <c r="I19" s="16"/>
      <c r="J19" s="23">
        <v>15.0</v>
      </c>
      <c r="M19" s="16">
        <v>16.0</v>
      </c>
      <c r="N19" s="23">
        <v>4.0</v>
      </c>
      <c r="O19" s="16"/>
      <c r="P19" s="23">
        <v>5.0</v>
      </c>
      <c r="Q19" s="23"/>
      <c r="R19" s="23">
        <v>3.0</v>
      </c>
      <c r="S19" s="16"/>
      <c r="T19" s="16"/>
      <c r="U19" s="16"/>
      <c r="V19" s="23">
        <v>8.0</v>
      </c>
      <c r="Y19" s="16">
        <v>16.0</v>
      </c>
      <c r="Z19" s="23">
        <v>1.0</v>
      </c>
      <c r="AA19" s="16"/>
      <c r="AB19" s="16"/>
      <c r="AC19" s="16"/>
      <c r="AD19" s="16"/>
      <c r="AE19" s="16"/>
      <c r="AF19" s="16"/>
      <c r="AG19" s="16"/>
      <c r="AH19" s="23">
        <v>5.0</v>
      </c>
    </row>
    <row r="20" ht="15.75" customHeight="1">
      <c r="A20" s="16">
        <v>17.0</v>
      </c>
      <c r="B20" s="23">
        <v>7.0</v>
      </c>
      <c r="C20" s="16"/>
      <c r="D20" s="23">
        <v>1.0</v>
      </c>
      <c r="E20" s="16"/>
      <c r="F20" s="23">
        <v>1.0</v>
      </c>
      <c r="G20" s="16"/>
      <c r="H20" s="23">
        <v>1.0</v>
      </c>
      <c r="I20" s="16"/>
      <c r="J20" s="23">
        <v>15.0</v>
      </c>
      <c r="M20" s="16">
        <v>17.0</v>
      </c>
      <c r="N20" s="23">
        <v>4.0</v>
      </c>
      <c r="O20" s="16"/>
      <c r="P20" s="23">
        <v>5.0</v>
      </c>
      <c r="Q20" s="23"/>
      <c r="R20" s="23">
        <v>3.0</v>
      </c>
      <c r="S20" s="16"/>
      <c r="T20" s="16"/>
      <c r="U20" s="16"/>
      <c r="V20" s="23">
        <v>9.0</v>
      </c>
      <c r="Y20" s="16">
        <v>17.0</v>
      </c>
      <c r="Z20" s="23">
        <v>0.0</v>
      </c>
      <c r="AA20" s="16"/>
      <c r="AB20" s="16"/>
      <c r="AC20" s="16"/>
      <c r="AD20" s="16"/>
      <c r="AE20" s="16"/>
      <c r="AF20" s="16"/>
      <c r="AG20" s="16"/>
      <c r="AH20" s="23">
        <v>7.0</v>
      </c>
    </row>
    <row r="21" ht="15.75" customHeight="1">
      <c r="A21" s="16">
        <v>18.0</v>
      </c>
      <c r="B21" s="23">
        <v>7.0</v>
      </c>
      <c r="C21" s="16"/>
      <c r="D21" s="23">
        <v>1.0</v>
      </c>
      <c r="E21" s="16"/>
      <c r="F21" s="23">
        <v>1.0</v>
      </c>
      <c r="G21" s="16"/>
      <c r="H21" s="23">
        <v>1.0</v>
      </c>
      <c r="I21" s="16"/>
      <c r="J21" s="23">
        <v>16.0</v>
      </c>
      <c r="M21" s="16">
        <v>18.0</v>
      </c>
      <c r="N21" s="23">
        <v>5.0</v>
      </c>
      <c r="O21" s="16"/>
      <c r="P21" s="23">
        <v>5.0</v>
      </c>
      <c r="Q21" s="23"/>
      <c r="R21" s="23">
        <v>3.0</v>
      </c>
      <c r="S21" s="16"/>
      <c r="T21" s="16"/>
      <c r="U21" s="16"/>
      <c r="V21" s="23">
        <v>8.0</v>
      </c>
      <c r="Y21" s="16">
        <v>18.0</v>
      </c>
      <c r="Z21" s="23">
        <v>0.0</v>
      </c>
      <c r="AA21" s="16"/>
      <c r="AB21" s="16"/>
      <c r="AC21" s="16"/>
      <c r="AD21" s="16"/>
      <c r="AE21" s="16"/>
      <c r="AF21" s="16"/>
      <c r="AG21" s="16"/>
      <c r="AH21" s="23">
        <v>8.0</v>
      </c>
    </row>
    <row r="22" ht="15.75" customHeight="1">
      <c r="A22" s="16">
        <v>19.0</v>
      </c>
      <c r="B22" s="23">
        <v>7.0</v>
      </c>
      <c r="C22" s="16"/>
      <c r="D22" s="23">
        <v>1.0</v>
      </c>
      <c r="E22" s="16"/>
      <c r="F22" s="23">
        <v>1.0</v>
      </c>
      <c r="G22" s="16"/>
      <c r="H22" s="23">
        <v>1.0</v>
      </c>
      <c r="I22" s="16"/>
      <c r="J22" s="23">
        <v>18.0</v>
      </c>
      <c r="M22" s="16">
        <v>19.0</v>
      </c>
      <c r="N22" s="23">
        <v>5.0</v>
      </c>
      <c r="O22" s="16"/>
      <c r="P22" s="23">
        <v>5.0</v>
      </c>
      <c r="Q22" s="23"/>
      <c r="R22" s="23">
        <v>3.0</v>
      </c>
      <c r="S22" s="16"/>
      <c r="T22" s="16"/>
      <c r="U22" s="16"/>
      <c r="V22" s="23">
        <v>10.0</v>
      </c>
      <c r="Y22" s="16">
        <v>19.0</v>
      </c>
      <c r="Z22" s="23">
        <v>0.0</v>
      </c>
      <c r="AA22" s="16"/>
      <c r="AB22" s="16"/>
      <c r="AC22" s="16"/>
      <c r="AD22" s="16"/>
      <c r="AE22" s="16"/>
      <c r="AF22" s="16"/>
      <c r="AG22" s="16"/>
      <c r="AH22" s="23">
        <v>7.0</v>
      </c>
    </row>
    <row r="23" ht="15.75" customHeight="1">
      <c r="A23" s="16">
        <v>20.0</v>
      </c>
      <c r="B23" s="23">
        <v>7.0</v>
      </c>
      <c r="C23" s="16"/>
      <c r="D23" s="23">
        <v>1.0</v>
      </c>
      <c r="E23" s="16"/>
      <c r="F23" s="23">
        <v>1.0</v>
      </c>
      <c r="G23" s="16"/>
      <c r="H23" s="23">
        <v>1.0</v>
      </c>
      <c r="I23" s="16"/>
      <c r="J23" s="23">
        <v>8.0</v>
      </c>
      <c r="M23" s="16">
        <v>20.0</v>
      </c>
      <c r="N23" s="23">
        <v>5.0</v>
      </c>
      <c r="O23" s="16"/>
      <c r="P23" s="23">
        <v>5.0</v>
      </c>
      <c r="Q23" s="23"/>
      <c r="R23" s="23">
        <v>3.0</v>
      </c>
      <c r="S23" s="16"/>
      <c r="T23" s="16"/>
      <c r="U23" s="16"/>
      <c r="V23" s="23">
        <v>10.0</v>
      </c>
      <c r="Y23" s="16">
        <v>20.0</v>
      </c>
      <c r="Z23" s="23">
        <v>0.0</v>
      </c>
      <c r="AA23" s="16"/>
      <c r="AB23" s="16"/>
      <c r="AC23" s="16"/>
      <c r="AD23" s="16"/>
      <c r="AE23" s="16"/>
      <c r="AF23" s="16"/>
      <c r="AG23" s="16"/>
      <c r="AH23" s="23">
        <v>7.0</v>
      </c>
    </row>
    <row r="24" ht="15.75" customHeight="1">
      <c r="A24" s="16">
        <v>21.0</v>
      </c>
      <c r="B24" s="23">
        <v>7.0</v>
      </c>
      <c r="C24" s="16"/>
      <c r="D24" s="23">
        <v>1.0</v>
      </c>
      <c r="E24" s="16"/>
      <c r="F24" s="23">
        <v>1.0</v>
      </c>
      <c r="G24" s="16"/>
      <c r="H24" s="23">
        <v>1.0</v>
      </c>
      <c r="I24" s="16"/>
      <c r="J24" s="23">
        <v>17.0</v>
      </c>
      <c r="M24" s="16">
        <v>21.0</v>
      </c>
      <c r="N24" s="23">
        <v>5.0</v>
      </c>
      <c r="O24" s="16"/>
      <c r="P24" s="23">
        <v>5.0</v>
      </c>
      <c r="Q24" s="23"/>
      <c r="R24" s="23">
        <v>3.0</v>
      </c>
      <c r="S24" s="16"/>
      <c r="T24" s="16"/>
      <c r="U24" s="16"/>
      <c r="V24" s="23">
        <v>9.0</v>
      </c>
      <c r="Y24" s="16">
        <v>21.0</v>
      </c>
      <c r="Z24" s="23">
        <v>0.0</v>
      </c>
      <c r="AA24" s="16"/>
      <c r="AB24" s="16"/>
      <c r="AC24" s="16"/>
      <c r="AD24" s="16"/>
      <c r="AE24" s="16"/>
      <c r="AF24" s="16"/>
      <c r="AG24" s="16"/>
      <c r="AH24" s="23">
        <v>7.0</v>
      </c>
    </row>
    <row r="25" ht="15.75" customHeight="1">
      <c r="A25" s="16">
        <v>22.0</v>
      </c>
      <c r="B25" s="23">
        <v>7.0</v>
      </c>
      <c r="C25" s="23">
        <v>1.0</v>
      </c>
      <c r="D25" s="23">
        <v>1.0</v>
      </c>
      <c r="E25" s="16"/>
      <c r="F25" s="23">
        <v>1.0</v>
      </c>
      <c r="G25" s="16"/>
      <c r="H25" s="23">
        <v>1.0</v>
      </c>
      <c r="I25" s="16"/>
      <c r="J25" s="23">
        <v>15.0</v>
      </c>
      <c r="M25" s="16">
        <v>22.0</v>
      </c>
      <c r="N25" s="23">
        <v>5.0</v>
      </c>
      <c r="O25" s="16"/>
      <c r="P25" s="23">
        <v>5.0</v>
      </c>
      <c r="Q25" s="23"/>
      <c r="R25" s="23">
        <v>3.0</v>
      </c>
      <c r="S25" s="16"/>
      <c r="T25" s="16"/>
      <c r="U25" s="16"/>
      <c r="V25" s="23">
        <v>9.0</v>
      </c>
      <c r="Y25" s="16">
        <v>22.0</v>
      </c>
      <c r="Z25" s="23">
        <v>0.0</v>
      </c>
      <c r="AA25" s="16"/>
      <c r="AB25" s="16"/>
      <c r="AC25" s="16"/>
      <c r="AD25" s="16"/>
      <c r="AE25" s="16"/>
      <c r="AF25" s="16"/>
      <c r="AG25" s="16"/>
      <c r="AH25" s="23">
        <v>6.0</v>
      </c>
    </row>
    <row r="26" ht="15.75" customHeight="1">
      <c r="A26" s="16">
        <v>23.0</v>
      </c>
      <c r="B26" s="23">
        <v>7.0</v>
      </c>
      <c r="C26" s="16"/>
      <c r="D26" s="23">
        <v>1.0</v>
      </c>
      <c r="E26" s="16"/>
      <c r="F26" s="23">
        <v>1.0</v>
      </c>
      <c r="G26" s="16"/>
      <c r="H26" s="23">
        <v>0.0</v>
      </c>
      <c r="I26" s="16"/>
      <c r="J26" s="23">
        <v>18.0</v>
      </c>
      <c r="M26" s="16">
        <v>23.0</v>
      </c>
      <c r="N26" s="23">
        <v>5.0</v>
      </c>
      <c r="O26" s="16"/>
      <c r="P26" s="23">
        <v>5.0</v>
      </c>
      <c r="Q26" s="23">
        <v>1.0</v>
      </c>
      <c r="R26" s="23">
        <v>3.0</v>
      </c>
      <c r="S26" s="16"/>
      <c r="T26" s="16"/>
      <c r="U26" s="16"/>
      <c r="V26" s="23">
        <v>10.0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23">
        <v>7.0</v>
      </c>
    </row>
    <row r="27" ht="15.75" customHeight="1">
      <c r="A27" s="16">
        <v>24.0</v>
      </c>
      <c r="B27" s="23">
        <v>7.0</v>
      </c>
      <c r="C27" s="16"/>
      <c r="D27" s="23">
        <v>1.0</v>
      </c>
      <c r="E27" s="16"/>
      <c r="F27" s="23">
        <v>1.0</v>
      </c>
      <c r="G27" s="16"/>
      <c r="H27" s="23">
        <v>0.0</v>
      </c>
      <c r="I27" s="16"/>
      <c r="J27" s="23">
        <v>15.0</v>
      </c>
      <c r="M27" s="16">
        <v>24.0</v>
      </c>
      <c r="N27" s="23">
        <v>5.0</v>
      </c>
      <c r="O27" s="16"/>
      <c r="P27" s="23">
        <v>6.0</v>
      </c>
      <c r="Q27" s="23"/>
      <c r="R27" s="23">
        <v>3.0</v>
      </c>
      <c r="S27" s="16"/>
      <c r="T27" s="16"/>
      <c r="U27" s="16"/>
      <c r="V27" s="23">
        <v>10.0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23">
        <v>8.0</v>
      </c>
    </row>
    <row r="28" ht="15.75" customHeight="1">
      <c r="A28" s="16">
        <v>25.0</v>
      </c>
      <c r="B28" s="23">
        <v>7.0</v>
      </c>
      <c r="C28" s="16"/>
      <c r="D28" s="23">
        <v>1.0</v>
      </c>
      <c r="E28" s="16"/>
      <c r="F28" s="23">
        <v>1.0</v>
      </c>
      <c r="G28" s="16"/>
      <c r="H28" s="23">
        <v>0.0</v>
      </c>
      <c r="I28" s="16"/>
      <c r="J28" s="23">
        <v>16.0</v>
      </c>
      <c r="M28" s="16">
        <v>25.0</v>
      </c>
      <c r="N28" s="23">
        <v>4.0</v>
      </c>
      <c r="O28" s="16"/>
      <c r="P28" s="23">
        <v>4.0</v>
      </c>
      <c r="Q28" s="16"/>
      <c r="R28" s="23">
        <v>3.0</v>
      </c>
      <c r="S28" s="16"/>
      <c r="T28" s="16"/>
      <c r="U28" s="16"/>
      <c r="V28" s="23">
        <v>9.0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23">
        <v>2.0</v>
      </c>
    </row>
    <row r="29" ht="15.75" customHeight="1">
      <c r="A29" s="16">
        <v>26.0</v>
      </c>
      <c r="B29" s="23">
        <v>7.0</v>
      </c>
      <c r="C29" s="23">
        <v>1.0</v>
      </c>
      <c r="D29" s="23">
        <v>1.0</v>
      </c>
      <c r="E29" s="16"/>
      <c r="F29" s="23">
        <v>1.0</v>
      </c>
      <c r="G29" s="16"/>
      <c r="H29" s="23">
        <v>0.0</v>
      </c>
      <c r="I29" s="16"/>
      <c r="J29" s="23">
        <v>16.0</v>
      </c>
      <c r="M29" s="16">
        <v>26.0</v>
      </c>
      <c r="N29" s="23">
        <v>4.0</v>
      </c>
      <c r="O29" s="16"/>
      <c r="P29" s="23">
        <v>4.0</v>
      </c>
      <c r="Q29" s="16"/>
      <c r="R29" s="23">
        <v>3.0</v>
      </c>
      <c r="S29" s="16"/>
      <c r="T29" s="16"/>
      <c r="U29" s="16"/>
      <c r="V29" s="23">
        <v>9.0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23">
        <v>6.0</v>
      </c>
    </row>
    <row r="30" ht="15.75" customHeight="1">
      <c r="A30" s="16">
        <v>27.0</v>
      </c>
      <c r="B30" s="23">
        <v>8.0</v>
      </c>
      <c r="C30" s="23">
        <v>1.0</v>
      </c>
      <c r="D30" s="23">
        <v>1.0</v>
      </c>
      <c r="E30" s="16"/>
      <c r="F30" s="23">
        <v>1.0</v>
      </c>
      <c r="G30" s="23">
        <v>1.0</v>
      </c>
      <c r="H30" s="23">
        <v>0.0</v>
      </c>
      <c r="I30" s="16"/>
      <c r="J30" s="23">
        <v>13.0</v>
      </c>
      <c r="M30" s="16">
        <v>27.0</v>
      </c>
      <c r="N30" s="23">
        <v>4.0</v>
      </c>
      <c r="O30" s="23">
        <v>1.0</v>
      </c>
      <c r="P30" s="23">
        <v>4.0</v>
      </c>
      <c r="Q30" s="16"/>
      <c r="R30" s="23">
        <v>3.0</v>
      </c>
      <c r="S30" s="16"/>
      <c r="T30" s="16"/>
      <c r="U30" s="16"/>
      <c r="V30" s="23">
        <v>10.0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23">
        <v>7.0</v>
      </c>
    </row>
    <row r="31" ht="15.75" customHeight="1">
      <c r="A31" s="16">
        <v>28.0</v>
      </c>
      <c r="B31" s="23">
        <v>9.0</v>
      </c>
      <c r="C31" s="23"/>
      <c r="D31" s="23">
        <v>1.0</v>
      </c>
      <c r="E31" s="16"/>
      <c r="F31" s="23">
        <v>2.0</v>
      </c>
      <c r="G31" s="23"/>
      <c r="H31" s="23">
        <v>0.0</v>
      </c>
      <c r="I31" s="16"/>
      <c r="J31" s="23">
        <v>13.0</v>
      </c>
      <c r="M31" s="16">
        <v>28.0</v>
      </c>
      <c r="N31" s="23">
        <v>5.0</v>
      </c>
      <c r="O31" s="16"/>
      <c r="P31" s="23">
        <v>4.0</v>
      </c>
      <c r="Q31" s="16"/>
      <c r="R31" s="16"/>
      <c r="S31" s="16"/>
      <c r="T31" s="16"/>
      <c r="U31" s="16"/>
      <c r="V31" s="23">
        <v>8.0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23">
        <v>7.0</v>
      </c>
    </row>
    <row r="32" ht="15.75" customHeight="1">
      <c r="A32" s="16">
        <v>29.0</v>
      </c>
      <c r="B32" s="23">
        <v>8.0</v>
      </c>
      <c r="C32" s="23">
        <v>1.0</v>
      </c>
      <c r="D32" s="23">
        <v>1.0</v>
      </c>
      <c r="E32" s="23">
        <v>1.0</v>
      </c>
      <c r="F32" s="23">
        <v>2.0</v>
      </c>
      <c r="G32" s="23"/>
      <c r="H32" s="23">
        <v>0.0</v>
      </c>
      <c r="I32" s="16"/>
      <c r="J32" s="23">
        <v>16.0</v>
      </c>
      <c r="M32" s="16">
        <v>29.0</v>
      </c>
      <c r="N32" s="23">
        <v>5.0</v>
      </c>
      <c r="O32" s="16"/>
      <c r="P32" s="23">
        <v>4.0</v>
      </c>
      <c r="Q32" s="23">
        <v>1.0</v>
      </c>
      <c r="R32" s="16"/>
      <c r="S32" s="16"/>
      <c r="T32" s="16"/>
      <c r="U32" s="16"/>
      <c r="V32" s="23">
        <v>9.0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23">
        <v>4.0</v>
      </c>
    </row>
    <row r="33" ht="15.75" customHeight="1">
      <c r="A33" s="16">
        <v>30.0</v>
      </c>
      <c r="B33" s="23">
        <v>9.0</v>
      </c>
      <c r="C33" s="23">
        <v>1.0</v>
      </c>
      <c r="D33" s="23">
        <v>1.0</v>
      </c>
      <c r="E33" s="16"/>
      <c r="F33" s="23">
        <v>2.0</v>
      </c>
      <c r="G33" s="23"/>
      <c r="H33" s="23">
        <v>0.0</v>
      </c>
      <c r="I33" s="16"/>
      <c r="J33" s="23">
        <v>7.0</v>
      </c>
      <c r="M33" s="16">
        <v>30.0</v>
      </c>
      <c r="N33" s="23">
        <v>5.0</v>
      </c>
      <c r="O33" s="16"/>
      <c r="P33" s="23">
        <v>5.0</v>
      </c>
      <c r="Q33" s="16"/>
      <c r="R33" s="16"/>
      <c r="S33" s="16"/>
      <c r="T33" s="16"/>
      <c r="U33" s="16"/>
      <c r="V33" s="23">
        <v>8.0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23">
        <v>5.0</v>
      </c>
    </row>
    <row r="34" ht="15.75" customHeight="1">
      <c r="A34" s="16">
        <v>31.0</v>
      </c>
      <c r="B34" s="23">
        <v>10.0</v>
      </c>
      <c r="C34" s="10"/>
      <c r="D34" s="23">
        <v>1.0</v>
      </c>
      <c r="E34" s="10"/>
      <c r="F34" s="23">
        <v>2.0</v>
      </c>
      <c r="G34" s="23"/>
      <c r="H34" s="23">
        <v>0.0</v>
      </c>
      <c r="I34" s="10"/>
      <c r="J34" s="10"/>
      <c r="M34" s="16">
        <v>31.0</v>
      </c>
      <c r="N34" s="23">
        <v>5.0</v>
      </c>
      <c r="O34" s="10"/>
      <c r="P34" s="27">
        <v>5.0</v>
      </c>
      <c r="Q34" s="10"/>
      <c r="R34" s="10"/>
      <c r="S34" s="10"/>
      <c r="T34" s="10"/>
      <c r="U34" s="10"/>
      <c r="V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J35" si="1">SUM(B4:B34)</f>
        <v>220</v>
      </c>
      <c r="C35" s="28">
        <f t="shared" si="1"/>
        <v>10</v>
      </c>
      <c r="D35" s="28">
        <f t="shared" si="1"/>
        <v>31</v>
      </c>
      <c r="E35" s="28">
        <f t="shared" si="1"/>
        <v>1</v>
      </c>
      <c r="F35" s="28">
        <f t="shared" si="1"/>
        <v>30</v>
      </c>
      <c r="G35" s="28">
        <f t="shared" si="1"/>
        <v>2</v>
      </c>
      <c r="H35" s="28">
        <f t="shared" si="1"/>
        <v>22</v>
      </c>
      <c r="I35" s="28">
        <f t="shared" si="1"/>
        <v>0</v>
      </c>
      <c r="J35" s="28">
        <f t="shared" si="1"/>
        <v>470</v>
      </c>
      <c r="M35" s="28" t="s">
        <v>11</v>
      </c>
      <c r="N35" s="28">
        <f t="shared" ref="N35:V35" si="2">SUM(N4:N34)</f>
        <v>120</v>
      </c>
      <c r="O35" s="28">
        <f t="shared" si="2"/>
        <v>4</v>
      </c>
      <c r="P35" s="28">
        <f t="shared" si="2"/>
        <v>136</v>
      </c>
      <c r="Q35" s="28">
        <f t="shared" si="2"/>
        <v>3</v>
      </c>
      <c r="R35" s="28">
        <f t="shared" si="2"/>
        <v>81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217</v>
      </c>
      <c r="Y35" s="28" t="s">
        <v>11</v>
      </c>
      <c r="Z35" s="28">
        <f t="shared" ref="Z35:AH35" si="3">SUM(Z4:Z34)</f>
        <v>3</v>
      </c>
      <c r="AA35" s="28">
        <f t="shared" si="3"/>
        <v>1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167</v>
      </c>
    </row>
    <row r="36" ht="15.75" customHeight="1">
      <c r="A36" s="29" t="s">
        <v>12</v>
      </c>
      <c r="B36" s="28">
        <f t="shared" ref="B36:I36" si="4">(B35/$J$35)*1000</f>
        <v>468.0851064</v>
      </c>
      <c r="C36" s="28">
        <f t="shared" si="4"/>
        <v>21.27659574</v>
      </c>
      <c r="D36" s="28">
        <f t="shared" si="4"/>
        <v>65.95744681</v>
      </c>
      <c r="E36" s="28">
        <f t="shared" si="4"/>
        <v>2.127659574</v>
      </c>
      <c r="F36" s="28">
        <f t="shared" si="4"/>
        <v>63.82978723</v>
      </c>
      <c r="G36" s="28">
        <f t="shared" si="4"/>
        <v>4.255319149</v>
      </c>
      <c r="H36" s="28">
        <f t="shared" si="4"/>
        <v>46.80851064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55.29953917</v>
      </c>
      <c r="O36" s="28">
        <f t="shared" si="5"/>
        <v>1.843317972</v>
      </c>
      <c r="P36" s="28">
        <f t="shared" si="5"/>
        <v>62.67281106</v>
      </c>
      <c r="Q36" s="28">
        <f t="shared" si="5"/>
        <v>1.382488479</v>
      </c>
      <c r="R36" s="28">
        <f t="shared" si="5"/>
        <v>37.32718894</v>
      </c>
      <c r="S36" s="28">
        <f t="shared" si="5"/>
        <v>0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1.796407186</v>
      </c>
      <c r="AA36" s="28">
        <f t="shared" si="6"/>
        <v>0.5988023952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16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10.0</v>
      </c>
      <c r="C4" s="27">
        <v>1.0</v>
      </c>
      <c r="D4" s="23">
        <v>0.0</v>
      </c>
      <c r="E4" s="27">
        <v>1.0</v>
      </c>
      <c r="F4" s="23">
        <v>2.0</v>
      </c>
      <c r="G4" s="23"/>
      <c r="H4" s="23">
        <v>0.0</v>
      </c>
      <c r="I4" s="10"/>
      <c r="J4" s="23">
        <v>15.0</v>
      </c>
      <c r="M4" s="16">
        <v>1.0</v>
      </c>
      <c r="N4" s="23">
        <v>5.0</v>
      </c>
      <c r="O4" s="16"/>
      <c r="P4" s="23">
        <v>5.0</v>
      </c>
      <c r="Q4" s="16"/>
      <c r="R4" s="16"/>
      <c r="S4" s="16"/>
      <c r="T4" s="16"/>
      <c r="U4" s="16"/>
      <c r="V4" s="23">
        <v>4.0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23">
        <v>7.0</v>
      </c>
    </row>
    <row r="5" ht="15.75" customHeight="1">
      <c r="A5" s="16">
        <v>2.0</v>
      </c>
      <c r="B5" s="23">
        <v>10.0</v>
      </c>
      <c r="C5" s="27">
        <v>2.0</v>
      </c>
      <c r="D5" s="23">
        <v>1.0</v>
      </c>
      <c r="E5" s="10"/>
      <c r="F5" s="23">
        <v>2.0</v>
      </c>
      <c r="G5" s="23"/>
      <c r="H5" s="23">
        <v>0.0</v>
      </c>
      <c r="I5" s="10"/>
      <c r="J5" s="23">
        <v>14.0</v>
      </c>
      <c r="M5" s="16">
        <v>2.0</v>
      </c>
      <c r="N5" s="23">
        <v>5.0</v>
      </c>
      <c r="O5" s="23">
        <v>1.0</v>
      </c>
      <c r="P5" s="23">
        <v>5.0</v>
      </c>
      <c r="Q5" s="16"/>
      <c r="R5" s="16"/>
      <c r="S5" s="16"/>
      <c r="T5" s="16"/>
      <c r="U5" s="16"/>
      <c r="V5" s="23">
        <v>5.0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23">
        <v>8.0</v>
      </c>
    </row>
    <row r="6" ht="15.75" customHeight="1">
      <c r="A6" s="16">
        <v>3.0</v>
      </c>
      <c r="B6" s="23">
        <v>11.0</v>
      </c>
      <c r="C6" s="10"/>
      <c r="D6" s="23">
        <v>1.0</v>
      </c>
      <c r="E6" s="10"/>
      <c r="F6" s="23">
        <v>1.0</v>
      </c>
      <c r="G6" s="16"/>
      <c r="H6" s="23">
        <v>0.0</v>
      </c>
      <c r="I6" s="10"/>
      <c r="J6" s="23">
        <v>17.0</v>
      </c>
      <c r="M6" s="16">
        <v>3.0</v>
      </c>
      <c r="N6" s="23">
        <v>6.0</v>
      </c>
      <c r="O6" s="16"/>
      <c r="P6" s="23">
        <v>5.0</v>
      </c>
      <c r="Q6" s="16"/>
      <c r="R6" s="16"/>
      <c r="S6" s="16"/>
      <c r="T6" s="16"/>
      <c r="U6" s="16"/>
      <c r="V6" s="23">
        <v>5.0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23">
        <v>9.0</v>
      </c>
    </row>
    <row r="7" ht="15.75" customHeight="1">
      <c r="A7" s="16">
        <v>4.0</v>
      </c>
      <c r="B7" s="23">
        <v>9.0</v>
      </c>
      <c r="C7" s="10"/>
      <c r="D7" s="23">
        <v>1.0</v>
      </c>
      <c r="E7" s="10"/>
      <c r="F7" s="23">
        <v>1.0</v>
      </c>
      <c r="G7" s="16"/>
      <c r="H7" s="23">
        <v>0.0</v>
      </c>
      <c r="I7" s="10"/>
      <c r="J7" s="23">
        <v>19.0</v>
      </c>
      <c r="M7" s="16">
        <v>4.0</v>
      </c>
      <c r="N7" s="23">
        <v>6.0</v>
      </c>
      <c r="O7" s="16"/>
      <c r="P7" s="23">
        <v>5.0</v>
      </c>
      <c r="Q7" s="16"/>
      <c r="R7" s="16"/>
      <c r="S7" s="16"/>
      <c r="T7" s="16"/>
      <c r="U7" s="16"/>
      <c r="V7" s="23">
        <v>10.0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23">
        <v>9.0</v>
      </c>
    </row>
    <row r="8" ht="15.75" customHeight="1">
      <c r="A8" s="16">
        <v>5.0</v>
      </c>
      <c r="B8" s="23">
        <v>9.0</v>
      </c>
      <c r="C8" s="27">
        <v>1.0</v>
      </c>
      <c r="D8" s="23">
        <v>1.0</v>
      </c>
      <c r="E8" s="27">
        <v>1.0</v>
      </c>
      <c r="F8" s="23">
        <v>1.0</v>
      </c>
      <c r="G8" s="16"/>
      <c r="H8" s="23">
        <v>0.0</v>
      </c>
      <c r="I8" s="10"/>
      <c r="J8" s="23">
        <v>16.0</v>
      </c>
      <c r="M8" s="16">
        <v>5.0</v>
      </c>
      <c r="N8" s="23">
        <v>6.0</v>
      </c>
      <c r="O8" s="23">
        <v>1.0</v>
      </c>
      <c r="P8" s="23">
        <v>5.0</v>
      </c>
      <c r="Q8" s="16"/>
      <c r="R8" s="16"/>
      <c r="S8" s="16"/>
      <c r="T8" s="16"/>
      <c r="U8" s="16"/>
      <c r="V8" s="23">
        <v>8.0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23">
        <v>8.0</v>
      </c>
    </row>
    <row r="9" ht="15.75" customHeight="1">
      <c r="A9" s="16">
        <v>6.0</v>
      </c>
      <c r="B9" s="23">
        <v>9.0</v>
      </c>
      <c r="C9" s="16"/>
      <c r="D9" s="23">
        <v>1.0</v>
      </c>
      <c r="E9" s="16"/>
      <c r="F9" s="23">
        <v>1.0</v>
      </c>
      <c r="G9" s="16"/>
      <c r="H9" s="23">
        <v>0.0</v>
      </c>
      <c r="I9" s="16"/>
      <c r="J9" s="23">
        <v>17.0</v>
      </c>
      <c r="M9" s="16">
        <v>6.0</v>
      </c>
      <c r="N9" s="23">
        <v>7.0</v>
      </c>
      <c r="O9" s="23">
        <v>1.0</v>
      </c>
      <c r="P9" s="23">
        <v>5.0</v>
      </c>
      <c r="Q9" s="16"/>
      <c r="R9" s="16"/>
      <c r="S9" s="16"/>
      <c r="T9" s="16"/>
      <c r="U9" s="16"/>
      <c r="V9" s="23">
        <v>8.0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23">
        <v>10.0</v>
      </c>
    </row>
    <row r="10" ht="15.75" customHeight="1">
      <c r="A10" s="16">
        <v>7.0</v>
      </c>
      <c r="B10" s="23">
        <v>9.0</v>
      </c>
      <c r="C10" s="23">
        <v>1.0</v>
      </c>
      <c r="D10" s="23">
        <v>1.0</v>
      </c>
      <c r="E10" s="16"/>
      <c r="F10" s="23">
        <v>1.0</v>
      </c>
      <c r="G10" s="16"/>
      <c r="H10" s="23">
        <v>0.0</v>
      </c>
      <c r="I10" s="16"/>
      <c r="J10" s="23">
        <v>15.0</v>
      </c>
      <c r="M10" s="16">
        <v>7.0</v>
      </c>
      <c r="N10" s="23">
        <v>8.0</v>
      </c>
      <c r="O10" s="23"/>
      <c r="P10" s="23">
        <v>5.0</v>
      </c>
      <c r="Q10" s="16"/>
      <c r="R10" s="16"/>
      <c r="S10" s="16"/>
      <c r="T10" s="16"/>
      <c r="U10" s="16"/>
      <c r="V10" s="23">
        <v>10.0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23">
        <v>10.0</v>
      </c>
    </row>
    <row r="11" ht="15.75" customHeight="1">
      <c r="A11" s="16">
        <v>8.0</v>
      </c>
      <c r="B11" s="23">
        <v>10.0</v>
      </c>
      <c r="C11" s="23">
        <v>1.0</v>
      </c>
      <c r="D11" s="23">
        <v>1.0</v>
      </c>
      <c r="E11" s="16"/>
      <c r="F11" s="23">
        <v>1.0</v>
      </c>
      <c r="G11" s="16"/>
      <c r="H11" s="23">
        <v>0.0</v>
      </c>
      <c r="I11" s="16"/>
      <c r="J11" s="23">
        <v>20.0</v>
      </c>
      <c r="M11" s="16">
        <v>8.0</v>
      </c>
      <c r="N11" s="23">
        <v>8.0</v>
      </c>
      <c r="O11" s="16"/>
      <c r="P11" s="23">
        <v>5.0</v>
      </c>
      <c r="Q11" s="16"/>
      <c r="R11" s="16"/>
      <c r="S11" s="16"/>
      <c r="T11" s="16"/>
      <c r="U11" s="16"/>
      <c r="V11" s="23">
        <v>9.0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23">
        <v>10.0</v>
      </c>
    </row>
    <row r="12" ht="15.75" customHeight="1">
      <c r="A12" s="16">
        <v>9.0</v>
      </c>
      <c r="B12" s="23">
        <v>11.0</v>
      </c>
      <c r="C12" s="23">
        <v>1.0</v>
      </c>
      <c r="D12" s="23">
        <v>1.0</v>
      </c>
      <c r="E12" s="16"/>
      <c r="F12" s="23">
        <v>1.0</v>
      </c>
      <c r="G12" s="16"/>
      <c r="H12" s="23">
        <v>0.0</v>
      </c>
      <c r="I12" s="16"/>
      <c r="J12" s="23">
        <v>17.0</v>
      </c>
      <c r="M12" s="16">
        <v>9.0</v>
      </c>
      <c r="N12" s="23">
        <v>8.0</v>
      </c>
      <c r="O12" s="16"/>
      <c r="P12" s="23">
        <v>5.0</v>
      </c>
      <c r="Q12" s="16"/>
      <c r="R12" s="16"/>
      <c r="S12" s="16"/>
      <c r="T12" s="16"/>
      <c r="U12" s="16"/>
      <c r="V12" s="23">
        <v>8.0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23">
        <v>9.0</v>
      </c>
    </row>
    <row r="13" ht="15.75" customHeight="1">
      <c r="A13" s="16">
        <v>10.0</v>
      </c>
      <c r="B13" s="23">
        <v>12.0</v>
      </c>
      <c r="C13" s="23">
        <v>1.0</v>
      </c>
      <c r="D13" s="23">
        <v>1.0</v>
      </c>
      <c r="E13" s="16"/>
      <c r="F13" s="23">
        <v>1.0</v>
      </c>
      <c r="G13" s="16"/>
      <c r="H13" s="23">
        <v>0.0</v>
      </c>
      <c r="I13" s="16"/>
      <c r="J13" s="23">
        <v>18.0</v>
      </c>
      <c r="M13" s="16">
        <v>10.0</v>
      </c>
      <c r="N13" s="23">
        <v>8.0</v>
      </c>
      <c r="O13" s="16"/>
      <c r="P13" s="23">
        <v>5.0</v>
      </c>
      <c r="Q13" s="16"/>
      <c r="R13" s="16"/>
      <c r="S13" s="16"/>
      <c r="T13" s="16"/>
      <c r="U13" s="16"/>
      <c r="V13" s="23">
        <v>10.0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23">
        <v>10.0</v>
      </c>
    </row>
    <row r="14" ht="15.75" customHeight="1">
      <c r="A14" s="16">
        <v>11.0</v>
      </c>
      <c r="B14" s="23">
        <v>12.0</v>
      </c>
      <c r="C14" s="16"/>
      <c r="D14" s="23">
        <v>1.0</v>
      </c>
      <c r="E14" s="16"/>
      <c r="F14" s="23">
        <v>1.0</v>
      </c>
      <c r="G14" s="16"/>
      <c r="H14" s="23">
        <v>0.0</v>
      </c>
      <c r="I14" s="16"/>
      <c r="J14" s="23">
        <v>19.0</v>
      </c>
      <c r="M14" s="16">
        <v>11.0</v>
      </c>
      <c r="N14" s="23">
        <v>8.0</v>
      </c>
      <c r="O14" s="16"/>
      <c r="P14" s="23">
        <v>5.0</v>
      </c>
      <c r="Q14" s="16"/>
      <c r="R14" s="16"/>
      <c r="S14" s="16"/>
      <c r="T14" s="16"/>
      <c r="U14" s="16"/>
      <c r="V14" s="23">
        <v>9.0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23">
        <v>10.0</v>
      </c>
    </row>
    <row r="15" ht="15.75" customHeight="1">
      <c r="A15" s="16">
        <v>12.0</v>
      </c>
      <c r="B15" s="23">
        <v>12.0</v>
      </c>
      <c r="C15" s="23">
        <v>1.0</v>
      </c>
      <c r="D15" s="23">
        <v>1.0</v>
      </c>
      <c r="E15" s="16"/>
      <c r="F15" s="23">
        <v>1.0</v>
      </c>
      <c r="G15" s="16"/>
      <c r="H15" s="23">
        <v>0.0</v>
      </c>
      <c r="I15" s="16"/>
      <c r="J15" s="23">
        <v>18.0</v>
      </c>
      <c r="M15" s="16">
        <v>12.0</v>
      </c>
      <c r="N15" s="23">
        <v>8.0</v>
      </c>
      <c r="O15" s="23">
        <v>1.0</v>
      </c>
      <c r="P15" s="23">
        <v>5.0</v>
      </c>
      <c r="Q15" s="16"/>
      <c r="R15" s="16"/>
      <c r="S15" s="16"/>
      <c r="T15" s="16"/>
      <c r="U15" s="16"/>
      <c r="V15" s="23">
        <v>8.0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23">
        <v>9.0</v>
      </c>
    </row>
    <row r="16" ht="15.75" customHeight="1">
      <c r="A16" s="16">
        <v>13.0</v>
      </c>
      <c r="B16" s="23">
        <v>10.0</v>
      </c>
      <c r="C16" s="16"/>
      <c r="D16" s="23">
        <v>1.0</v>
      </c>
      <c r="E16" s="16"/>
      <c r="F16" s="23">
        <v>1.0</v>
      </c>
      <c r="G16" s="16"/>
      <c r="H16" s="23">
        <v>0.0</v>
      </c>
      <c r="I16" s="16"/>
      <c r="J16" s="23">
        <v>17.0</v>
      </c>
      <c r="M16" s="16">
        <v>13.0</v>
      </c>
      <c r="N16" s="23">
        <v>7.0</v>
      </c>
      <c r="O16" s="23">
        <v>1.0</v>
      </c>
      <c r="P16" s="23">
        <v>5.0</v>
      </c>
      <c r="Q16" s="16"/>
      <c r="R16" s="16"/>
      <c r="S16" s="16"/>
      <c r="T16" s="16"/>
      <c r="U16" s="16"/>
      <c r="V16" s="23">
        <v>10.0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23">
        <v>7.0</v>
      </c>
    </row>
    <row r="17" ht="15.75" customHeight="1">
      <c r="A17" s="16">
        <v>14.0</v>
      </c>
      <c r="B17" s="23">
        <v>9.0</v>
      </c>
      <c r="C17" s="16"/>
      <c r="D17" s="23">
        <v>1.0</v>
      </c>
      <c r="E17" s="16"/>
      <c r="F17" s="23">
        <v>1.0</v>
      </c>
      <c r="G17" s="16"/>
      <c r="H17" s="23">
        <v>0.0</v>
      </c>
      <c r="I17" s="16"/>
      <c r="J17" s="23">
        <v>17.0</v>
      </c>
      <c r="M17" s="16">
        <v>14.0</v>
      </c>
      <c r="N17" s="23">
        <v>8.0</v>
      </c>
      <c r="O17" s="16"/>
      <c r="P17" s="23">
        <v>5.0</v>
      </c>
      <c r="Q17" s="16"/>
      <c r="R17" s="16"/>
      <c r="S17" s="16"/>
      <c r="T17" s="16"/>
      <c r="U17" s="16"/>
      <c r="V17" s="23">
        <v>8.0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23">
        <v>7.0</v>
      </c>
    </row>
    <row r="18" ht="15.75" customHeight="1">
      <c r="A18" s="16">
        <v>15.0</v>
      </c>
      <c r="B18" s="23">
        <v>9.0</v>
      </c>
      <c r="C18" s="16"/>
      <c r="D18" s="23">
        <v>1.0</v>
      </c>
      <c r="E18" s="16"/>
      <c r="F18" s="23">
        <v>1.0</v>
      </c>
      <c r="G18" s="16"/>
      <c r="H18" s="23">
        <v>0.0</v>
      </c>
      <c r="I18" s="23">
        <v>1.0</v>
      </c>
      <c r="J18" s="23">
        <v>14.0</v>
      </c>
      <c r="M18" s="16">
        <v>15.0</v>
      </c>
      <c r="N18" s="23">
        <v>7.0</v>
      </c>
      <c r="O18" s="16"/>
      <c r="P18" s="23">
        <v>4.0</v>
      </c>
      <c r="Q18" s="16"/>
      <c r="R18" s="16"/>
      <c r="S18" s="16"/>
      <c r="T18" s="16"/>
      <c r="U18" s="16"/>
      <c r="V18" s="23">
        <v>8.0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23">
        <v>8.0</v>
      </c>
    </row>
    <row r="19" ht="15.75" customHeight="1">
      <c r="A19" s="16">
        <v>16.0</v>
      </c>
      <c r="B19" s="37">
        <v>9.0</v>
      </c>
      <c r="C19" s="23">
        <v>1.0</v>
      </c>
      <c r="D19" s="23">
        <v>1.0</v>
      </c>
      <c r="E19" s="16"/>
      <c r="F19" s="23">
        <v>1.0</v>
      </c>
      <c r="G19" s="16"/>
      <c r="H19" s="23">
        <v>1.0</v>
      </c>
      <c r="I19" s="16"/>
      <c r="J19" s="23">
        <v>16.0</v>
      </c>
      <c r="M19" s="16">
        <v>16.0</v>
      </c>
      <c r="N19" s="23">
        <v>7.0</v>
      </c>
      <c r="O19" s="16"/>
      <c r="P19" s="23">
        <v>4.0</v>
      </c>
      <c r="Q19" s="16"/>
      <c r="R19" s="16"/>
      <c r="S19" s="16"/>
      <c r="T19" s="16"/>
      <c r="U19" s="16"/>
      <c r="V19" s="23">
        <v>9.0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23">
        <v>13.0</v>
      </c>
    </row>
    <row r="20" ht="15.75" customHeight="1">
      <c r="A20" s="16">
        <v>17.0</v>
      </c>
      <c r="B20" s="23">
        <v>8.0</v>
      </c>
      <c r="C20" s="23">
        <v>1.0</v>
      </c>
      <c r="D20" s="23">
        <v>1.0</v>
      </c>
      <c r="E20" s="16"/>
      <c r="F20" s="23">
        <v>1.0</v>
      </c>
      <c r="G20" s="16"/>
      <c r="H20" s="23">
        <v>1.0</v>
      </c>
      <c r="I20" s="16"/>
      <c r="J20" s="23">
        <v>16.0</v>
      </c>
      <c r="M20" s="16">
        <v>17.0</v>
      </c>
      <c r="N20" s="23">
        <v>7.0</v>
      </c>
      <c r="O20" s="16"/>
      <c r="P20" s="23">
        <v>4.0</v>
      </c>
      <c r="Q20" s="16"/>
      <c r="R20" s="16"/>
      <c r="S20" s="16"/>
      <c r="T20" s="16"/>
      <c r="U20" s="16"/>
      <c r="V20" s="23">
        <v>8.0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23">
        <v>8.0</v>
      </c>
    </row>
    <row r="21" ht="15.75" customHeight="1">
      <c r="A21" s="16">
        <v>18.0</v>
      </c>
      <c r="B21" s="23">
        <v>10.0</v>
      </c>
      <c r="C21" s="23">
        <v>1.0</v>
      </c>
      <c r="D21" s="23">
        <v>1.0</v>
      </c>
      <c r="E21" s="16"/>
      <c r="F21" s="23">
        <v>1.0</v>
      </c>
      <c r="G21" s="16"/>
      <c r="H21" s="23">
        <v>1.0</v>
      </c>
      <c r="I21" s="16"/>
      <c r="J21" s="23">
        <v>14.0</v>
      </c>
      <c r="M21" s="16">
        <v>18.0</v>
      </c>
      <c r="N21" s="23">
        <v>6.0</v>
      </c>
      <c r="O21" s="16"/>
      <c r="P21" s="23">
        <v>4.0</v>
      </c>
      <c r="Q21" s="16"/>
      <c r="R21" s="16"/>
      <c r="S21" s="16"/>
      <c r="T21" s="16"/>
      <c r="U21" s="16"/>
      <c r="V21" s="23">
        <v>5.0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23">
        <v>8.0</v>
      </c>
    </row>
    <row r="22" ht="15.75" customHeight="1">
      <c r="A22" s="16">
        <v>19.0</v>
      </c>
      <c r="B22" s="23">
        <v>10.0</v>
      </c>
      <c r="C22" s="16"/>
      <c r="D22" s="23">
        <v>1.0</v>
      </c>
      <c r="E22" s="16"/>
      <c r="F22" s="23">
        <v>1.0</v>
      </c>
      <c r="G22" s="16"/>
      <c r="H22" s="23">
        <v>1.0</v>
      </c>
      <c r="I22" s="16"/>
      <c r="J22" s="23">
        <v>17.0</v>
      </c>
      <c r="M22" s="16">
        <v>19.0</v>
      </c>
      <c r="N22" s="23">
        <v>6.0</v>
      </c>
      <c r="O22" s="16"/>
      <c r="P22" s="23">
        <v>4.0</v>
      </c>
      <c r="Q22" s="16"/>
      <c r="R22" s="16"/>
      <c r="S22" s="16"/>
      <c r="T22" s="16"/>
      <c r="U22" s="16"/>
      <c r="V22" s="23">
        <v>8.0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23">
        <v>7.0</v>
      </c>
    </row>
    <row r="23" ht="15.75" customHeight="1">
      <c r="A23" s="16">
        <v>20.0</v>
      </c>
      <c r="B23" s="23">
        <v>9.0</v>
      </c>
      <c r="C23" s="16"/>
      <c r="D23" s="23">
        <v>1.0</v>
      </c>
      <c r="E23" s="16"/>
      <c r="F23" s="23">
        <v>1.0</v>
      </c>
      <c r="G23" s="16"/>
      <c r="H23" s="23">
        <v>1.0</v>
      </c>
      <c r="I23" s="16"/>
      <c r="J23" s="23">
        <v>16.0</v>
      </c>
      <c r="M23" s="16">
        <v>20.0</v>
      </c>
      <c r="N23" s="23">
        <v>6.0</v>
      </c>
      <c r="O23" s="23">
        <v>1.0</v>
      </c>
      <c r="P23" s="23">
        <v>4.0</v>
      </c>
      <c r="Q23" s="16"/>
      <c r="R23" s="16"/>
      <c r="S23" s="16"/>
      <c r="T23" s="16"/>
      <c r="U23" s="16"/>
      <c r="V23" s="23">
        <v>9.0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23">
        <v>7.0</v>
      </c>
    </row>
    <row r="24" ht="15.75" customHeight="1">
      <c r="A24" s="16">
        <v>21.0</v>
      </c>
      <c r="B24" s="23">
        <v>10.0</v>
      </c>
      <c r="C24" s="16"/>
      <c r="D24" s="23">
        <v>1.0</v>
      </c>
      <c r="E24" s="16"/>
      <c r="F24" s="23">
        <v>1.0</v>
      </c>
      <c r="G24" s="16"/>
      <c r="H24" s="23">
        <v>1.0</v>
      </c>
      <c r="I24" s="16"/>
      <c r="J24" s="23">
        <v>16.0</v>
      </c>
      <c r="M24" s="16">
        <v>21.0</v>
      </c>
      <c r="N24" s="23">
        <v>8.0</v>
      </c>
      <c r="O24" s="23">
        <v>1.0</v>
      </c>
      <c r="P24" s="23">
        <v>4.0</v>
      </c>
      <c r="Q24" s="16"/>
      <c r="R24" s="16"/>
      <c r="S24" s="16"/>
      <c r="T24" s="16"/>
      <c r="U24" s="16"/>
      <c r="V24" s="23">
        <v>10.0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23">
        <v>8.0</v>
      </c>
    </row>
    <row r="25" ht="15.75" customHeight="1">
      <c r="A25" s="16">
        <v>22.0</v>
      </c>
      <c r="B25" s="23">
        <v>10.0</v>
      </c>
      <c r="C25" s="16"/>
      <c r="D25" s="23">
        <v>1.0</v>
      </c>
      <c r="E25" s="16"/>
      <c r="F25" s="23">
        <v>1.0</v>
      </c>
      <c r="G25" s="16"/>
      <c r="H25" s="23">
        <v>1.0</v>
      </c>
      <c r="I25" s="16"/>
      <c r="J25" s="23">
        <v>17.0</v>
      </c>
      <c r="M25" s="16">
        <v>22.0</v>
      </c>
      <c r="N25" s="23">
        <v>8.0</v>
      </c>
      <c r="O25" s="23"/>
      <c r="P25" s="23">
        <v>4.0</v>
      </c>
      <c r="Q25" s="16"/>
      <c r="R25" s="16"/>
      <c r="S25" s="16"/>
      <c r="T25" s="16"/>
      <c r="U25" s="16"/>
      <c r="V25" s="23">
        <v>7.0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23">
        <v>5.0</v>
      </c>
    </row>
    <row r="26" ht="15.75" customHeight="1">
      <c r="A26" s="16">
        <v>23.0</v>
      </c>
      <c r="B26" s="23">
        <v>10.0</v>
      </c>
      <c r="C26" s="16"/>
      <c r="D26" s="23">
        <v>1.0</v>
      </c>
      <c r="E26" s="23">
        <v>1.0</v>
      </c>
      <c r="F26" s="23">
        <v>1.0</v>
      </c>
      <c r="G26" s="16"/>
      <c r="H26" s="23">
        <v>1.0</v>
      </c>
      <c r="I26" s="16"/>
      <c r="J26" s="23">
        <v>19.0</v>
      </c>
      <c r="M26" s="16">
        <v>23.0</v>
      </c>
      <c r="N26" s="23">
        <v>7.0</v>
      </c>
      <c r="O26" s="23">
        <v>1.0</v>
      </c>
      <c r="P26" s="23">
        <v>4.0</v>
      </c>
      <c r="Q26" s="23">
        <v>1.0</v>
      </c>
      <c r="R26" s="16"/>
      <c r="S26" s="16"/>
      <c r="T26" s="16"/>
      <c r="U26" s="16"/>
      <c r="V26" s="23">
        <v>8.0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23">
        <v>7.0</v>
      </c>
    </row>
    <row r="27" ht="15.75" customHeight="1">
      <c r="A27" s="16">
        <v>24.0</v>
      </c>
      <c r="B27" s="23">
        <v>10.0</v>
      </c>
      <c r="C27" s="23">
        <v>2.0</v>
      </c>
      <c r="D27" s="23">
        <v>3.0</v>
      </c>
      <c r="E27" s="23">
        <v>1.0</v>
      </c>
      <c r="F27" s="23">
        <v>1.0</v>
      </c>
      <c r="G27" s="16"/>
      <c r="H27" s="23">
        <v>0.0</v>
      </c>
      <c r="I27" s="16"/>
      <c r="J27" s="23">
        <v>18.0</v>
      </c>
      <c r="M27" s="16">
        <v>24.0</v>
      </c>
      <c r="N27" s="23">
        <v>8.0</v>
      </c>
      <c r="O27" s="16"/>
      <c r="P27" s="23">
        <v>5.0</v>
      </c>
      <c r="Q27" s="16"/>
      <c r="R27" s="16"/>
      <c r="S27" s="16"/>
      <c r="T27" s="16"/>
      <c r="U27" s="16"/>
      <c r="V27" s="23">
        <v>9.0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23">
        <v>9.0</v>
      </c>
    </row>
    <row r="28" ht="15.75" customHeight="1">
      <c r="A28" s="16">
        <v>25.0</v>
      </c>
      <c r="B28" s="23">
        <v>12.0</v>
      </c>
      <c r="C28" s="23">
        <v>1.0</v>
      </c>
      <c r="D28" s="23">
        <v>4.0</v>
      </c>
      <c r="E28" s="16"/>
      <c r="F28" s="23">
        <v>1.0</v>
      </c>
      <c r="G28" s="16"/>
      <c r="H28" s="23">
        <v>0.0</v>
      </c>
      <c r="I28" s="16"/>
      <c r="J28" s="23">
        <v>18.0</v>
      </c>
      <c r="M28" s="16">
        <v>25.0</v>
      </c>
      <c r="N28" s="23">
        <v>8.0</v>
      </c>
      <c r="O28" s="23"/>
      <c r="P28" s="23">
        <v>5.0</v>
      </c>
      <c r="Q28" s="23">
        <v>1.0</v>
      </c>
      <c r="R28" s="16"/>
      <c r="S28" s="16"/>
      <c r="T28" s="16"/>
      <c r="U28" s="16"/>
      <c r="V28" s="23">
        <v>9.0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23">
        <v>9.0</v>
      </c>
    </row>
    <row r="29" ht="15.75" customHeight="1">
      <c r="A29" s="16">
        <v>26.0</v>
      </c>
      <c r="B29" s="23">
        <v>13.0</v>
      </c>
      <c r="C29" s="16"/>
      <c r="D29" s="23">
        <v>4.0</v>
      </c>
      <c r="E29" s="16"/>
      <c r="F29" s="23">
        <v>1.0</v>
      </c>
      <c r="G29" s="16"/>
      <c r="H29" s="23">
        <v>0.0</v>
      </c>
      <c r="I29" s="16"/>
      <c r="J29" s="23">
        <v>18.0</v>
      </c>
      <c r="M29" s="16">
        <v>26.0</v>
      </c>
      <c r="N29" s="23">
        <v>8.0</v>
      </c>
      <c r="O29" s="23">
        <v>1.0</v>
      </c>
      <c r="P29" s="23">
        <v>6.0</v>
      </c>
      <c r="Q29" s="23">
        <v>1.0</v>
      </c>
      <c r="R29" s="16"/>
      <c r="S29" s="16"/>
      <c r="T29" s="16"/>
      <c r="U29" s="16"/>
      <c r="V29" s="23">
        <v>9.0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23">
        <v>9.0</v>
      </c>
    </row>
    <row r="30" ht="15.75" customHeight="1">
      <c r="A30" s="16">
        <v>27.0</v>
      </c>
      <c r="B30" s="23">
        <v>13.0</v>
      </c>
      <c r="C30" s="16"/>
      <c r="D30" s="23">
        <v>4.0</v>
      </c>
      <c r="E30" s="16"/>
      <c r="F30" s="23">
        <v>1.0</v>
      </c>
      <c r="G30" s="16"/>
      <c r="H30" s="23">
        <v>0.0</v>
      </c>
      <c r="I30" s="16"/>
      <c r="J30" s="23">
        <v>19.0</v>
      </c>
      <c r="M30" s="16">
        <v>27.0</v>
      </c>
      <c r="N30" s="23">
        <v>9.0</v>
      </c>
      <c r="O30" s="16"/>
      <c r="P30" s="23">
        <v>7.0</v>
      </c>
      <c r="Q30" s="16"/>
      <c r="R30" s="16"/>
      <c r="S30" s="16"/>
      <c r="T30" s="16"/>
      <c r="U30" s="16"/>
      <c r="V30" s="23">
        <v>9.0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23">
        <v>8.0</v>
      </c>
    </row>
    <row r="31" ht="15.75" customHeight="1">
      <c r="A31" s="16">
        <v>28.0</v>
      </c>
      <c r="B31" s="23">
        <v>12.0</v>
      </c>
      <c r="C31" s="23">
        <v>1.0</v>
      </c>
      <c r="D31" s="23">
        <v>2.0</v>
      </c>
      <c r="E31" s="16"/>
      <c r="F31" s="23">
        <v>1.0</v>
      </c>
      <c r="G31" s="16"/>
      <c r="H31" s="23">
        <v>0.0</v>
      </c>
      <c r="I31" s="16"/>
      <c r="J31" s="23">
        <v>20.0</v>
      </c>
      <c r="M31" s="16">
        <v>28.0</v>
      </c>
      <c r="N31" s="23">
        <v>9.0</v>
      </c>
      <c r="O31" s="16"/>
      <c r="P31" s="23">
        <v>6.0</v>
      </c>
      <c r="Q31" s="23">
        <v>1.0</v>
      </c>
      <c r="R31" s="16"/>
      <c r="S31" s="16"/>
      <c r="T31" s="16"/>
      <c r="U31" s="16"/>
      <c r="V31" s="23">
        <v>10.0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23">
        <v>9.0</v>
      </c>
    </row>
    <row r="32" ht="15.75" customHeight="1">
      <c r="A32" s="16">
        <v>29.0</v>
      </c>
      <c r="B32" s="23">
        <v>12.0</v>
      </c>
      <c r="C32" s="16"/>
      <c r="D32" s="23">
        <v>2.0</v>
      </c>
      <c r="E32" s="16"/>
      <c r="F32" s="23">
        <v>1.0</v>
      </c>
      <c r="G32" s="16"/>
      <c r="H32" s="23">
        <v>0.0</v>
      </c>
      <c r="I32" s="16"/>
      <c r="J32" s="23">
        <v>18.0</v>
      </c>
      <c r="M32" s="16">
        <v>29.0</v>
      </c>
      <c r="N32" s="23">
        <v>9.0</v>
      </c>
      <c r="O32" s="16"/>
      <c r="P32" s="23">
        <v>7.0</v>
      </c>
      <c r="Q32" s="16"/>
      <c r="R32" s="16"/>
      <c r="S32" s="16"/>
      <c r="T32" s="16"/>
      <c r="U32" s="16"/>
      <c r="V32" s="23">
        <v>9.0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23">
        <v>7.0</v>
      </c>
    </row>
    <row r="33" ht="15.75" customHeight="1">
      <c r="A33" s="16">
        <v>30.0</v>
      </c>
      <c r="B33" s="23">
        <v>11.0</v>
      </c>
      <c r="C33" s="16"/>
      <c r="D33" s="23">
        <v>2.0</v>
      </c>
      <c r="E33" s="16"/>
      <c r="F33" s="23">
        <v>1.0</v>
      </c>
      <c r="G33" s="16"/>
      <c r="H33" s="23">
        <v>0.0</v>
      </c>
      <c r="I33" s="16"/>
      <c r="J33" s="23">
        <v>16.0</v>
      </c>
      <c r="M33" s="16">
        <v>30.0</v>
      </c>
      <c r="N33" s="23">
        <v>9.0</v>
      </c>
      <c r="O33" s="16"/>
      <c r="P33" s="23">
        <v>7.0</v>
      </c>
      <c r="Q33" s="16"/>
      <c r="R33" s="16"/>
      <c r="S33" s="16"/>
      <c r="T33" s="16"/>
      <c r="U33" s="16"/>
      <c r="V33" s="23">
        <v>5.0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23">
        <v>6.0</v>
      </c>
    </row>
    <row r="34" ht="15.75" customHeight="1">
      <c r="A34" s="16">
        <v>31.0</v>
      </c>
      <c r="B34" s="27">
        <v>12.0</v>
      </c>
      <c r="C34" s="10"/>
      <c r="D34" s="27">
        <v>2.0</v>
      </c>
      <c r="E34" s="27">
        <v>1.0</v>
      </c>
      <c r="F34" s="23">
        <v>1.0</v>
      </c>
      <c r="G34" s="10"/>
      <c r="H34" s="27">
        <v>0.0</v>
      </c>
      <c r="I34" s="10"/>
      <c r="J34" s="27">
        <v>19.0</v>
      </c>
      <c r="M34" s="16">
        <v>31.0</v>
      </c>
      <c r="N34" s="27">
        <v>9.0</v>
      </c>
      <c r="O34" s="10"/>
      <c r="P34" s="27">
        <v>6.0</v>
      </c>
      <c r="Q34" s="10"/>
      <c r="R34" s="10"/>
      <c r="S34" s="10"/>
      <c r="T34" s="10"/>
      <c r="U34" s="10"/>
      <c r="V34" s="27">
        <v>7.0</v>
      </c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27">
        <v>9.0</v>
      </c>
    </row>
    <row r="35" ht="15.75" customHeight="1">
      <c r="A35" s="28" t="s">
        <v>11</v>
      </c>
      <c r="B35" s="28">
        <f t="shared" ref="B35:J35" si="1">SUM(B4:B34)</f>
        <v>323</v>
      </c>
      <c r="C35" s="28">
        <f t="shared" si="1"/>
        <v>16</v>
      </c>
      <c r="D35" s="28">
        <f t="shared" si="1"/>
        <v>45</v>
      </c>
      <c r="E35" s="28">
        <f t="shared" si="1"/>
        <v>5</v>
      </c>
      <c r="F35" s="28">
        <f t="shared" si="1"/>
        <v>33</v>
      </c>
      <c r="G35" s="28">
        <f t="shared" si="1"/>
        <v>0</v>
      </c>
      <c r="H35" s="28">
        <f t="shared" si="1"/>
        <v>8</v>
      </c>
      <c r="I35" s="28">
        <f t="shared" si="1"/>
        <v>1</v>
      </c>
      <c r="J35" s="28">
        <f t="shared" si="1"/>
        <v>530</v>
      </c>
      <c r="M35" s="28" t="s">
        <v>11</v>
      </c>
      <c r="N35" s="28">
        <f t="shared" ref="N35:V35" si="2">SUM(N4:N34)</f>
        <v>229</v>
      </c>
      <c r="O35" s="28">
        <f t="shared" si="2"/>
        <v>9</v>
      </c>
      <c r="P35" s="28">
        <f t="shared" si="2"/>
        <v>155</v>
      </c>
      <c r="Q35" s="28">
        <f t="shared" si="2"/>
        <v>4</v>
      </c>
      <c r="R35" s="28">
        <f t="shared" si="2"/>
        <v>0</v>
      </c>
      <c r="S35" s="28">
        <f t="shared" si="2"/>
        <v>0</v>
      </c>
      <c r="T35" s="28">
        <f t="shared" si="2"/>
        <v>0</v>
      </c>
      <c r="U35" s="28">
        <f t="shared" si="2"/>
        <v>0</v>
      </c>
      <c r="V35" s="28">
        <f t="shared" si="2"/>
        <v>251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260</v>
      </c>
    </row>
    <row r="36" ht="15.75" customHeight="1">
      <c r="A36" s="29" t="s">
        <v>12</v>
      </c>
      <c r="B36" s="28">
        <f t="shared" ref="B36:I36" si="4">(B35/$J$35)*1000</f>
        <v>609.4339623</v>
      </c>
      <c r="C36" s="28">
        <f t="shared" si="4"/>
        <v>30.18867925</v>
      </c>
      <c r="D36" s="28">
        <f t="shared" si="4"/>
        <v>84.90566038</v>
      </c>
      <c r="E36" s="28">
        <f t="shared" si="4"/>
        <v>9.433962264</v>
      </c>
      <c r="F36" s="28">
        <f t="shared" si="4"/>
        <v>62.26415094</v>
      </c>
      <c r="G36" s="28">
        <f t="shared" si="4"/>
        <v>0</v>
      </c>
      <c r="H36" s="28">
        <f t="shared" si="4"/>
        <v>15.09433962</v>
      </c>
      <c r="I36" s="28">
        <f t="shared" si="4"/>
        <v>1.886792453</v>
      </c>
      <c r="J36" s="28">
        <f>(J35/$J$35)*100</f>
        <v>100</v>
      </c>
      <c r="M36" s="29" t="s">
        <v>12</v>
      </c>
      <c r="N36" s="28">
        <f t="shared" ref="N36:U36" si="5">(N35/$V$35)*100</f>
        <v>91.23505976</v>
      </c>
      <c r="O36" s="28">
        <f t="shared" si="5"/>
        <v>3.585657371</v>
      </c>
      <c r="P36" s="28">
        <f t="shared" si="5"/>
        <v>61.75298805</v>
      </c>
      <c r="Q36" s="28">
        <f t="shared" si="5"/>
        <v>1.593625498</v>
      </c>
      <c r="R36" s="28">
        <f t="shared" si="5"/>
        <v>0</v>
      </c>
      <c r="S36" s="28">
        <f t="shared" si="5"/>
        <v>0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38">
        <v>12.0</v>
      </c>
      <c r="C4" s="39"/>
      <c r="D4" s="38">
        <v>2.0</v>
      </c>
      <c r="E4" s="39"/>
      <c r="F4" s="40">
        <v>1.0</v>
      </c>
      <c r="G4" s="40"/>
      <c r="H4" s="38">
        <v>0.0</v>
      </c>
      <c r="I4" s="39"/>
      <c r="J4" s="40">
        <v>16.0</v>
      </c>
      <c r="M4" s="16">
        <v>1.0</v>
      </c>
      <c r="N4" s="23">
        <v>9.0</v>
      </c>
      <c r="O4" s="27">
        <v>1.0</v>
      </c>
      <c r="P4" s="27">
        <v>6.0</v>
      </c>
      <c r="Q4" s="10"/>
      <c r="R4" s="10"/>
      <c r="S4" s="27">
        <v>2.0</v>
      </c>
      <c r="T4" s="10"/>
      <c r="U4" s="10"/>
      <c r="V4" s="27">
        <v>6.0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16"/>
    </row>
    <row r="5" ht="15.75" customHeight="1">
      <c r="A5" s="16">
        <v>2.0</v>
      </c>
      <c r="B5" s="38">
        <v>12.0</v>
      </c>
      <c r="C5" s="23">
        <v>1.0</v>
      </c>
      <c r="D5" s="38">
        <v>2.0</v>
      </c>
      <c r="E5" s="23">
        <v>1.0</v>
      </c>
      <c r="F5" s="23">
        <v>1.0</v>
      </c>
      <c r="G5" s="23">
        <v>1.0</v>
      </c>
      <c r="H5" s="38">
        <v>0.0</v>
      </c>
      <c r="I5" s="16"/>
      <c r="J5" s="23">
        <v>19.0</v>
      </c>
      <c r="M5" s="16">
        <v>2.0</v>
      </c>
      <c r="N5" s="23">
        <v>10.0</v>
      </c>
      <c r="O5" s="16"/>
      <c r="P5" s="27">
        <v>6.0</v>
      </c>
      <c r="Q5" s="16"/>
      <c r="R5" s="23">
        <v>2.0</v>
      </c>
      <c r="S5" s="23"/>
      <c r="T5" s="16"/>
      <c r="U5" s="16"/>
      <c r="V5" s="23">
        <v>7.0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16"/>
    </row>
    <row r="6" ht="15.75" customHeight="1">
      <c r="A6" s="16">
        <v>3.0</v>
      </c>
      <c r="B6" s="38">
        <v>14.0</v>
      </c>
      <c r="C6" s="16"/>
      <c r="D6" s="38">
        <v>3.0</v>
      </c>
      <c r="E6" s="23">
        <v>1.0</v>
      </c>
      <c r="F6" s="23">
        <v>2.0</v>
      </c>
      <c r="G6" s="16"/>
      <c r="H6" s="38">
        <v>0.0</v>
      </c>
      <c r="I6" s="16"/>
      <c r="J6" s="23">
        <v>14.0</v>
      </c>
      <c r="M6" s="16">
        <v>3.0</v>
      </c>
      <c r="N6" s="23">
        <v>10.0</v>
      </c>
      <c r="O6" s="16"/>
      <c r="P6" s="27">
        <v>6.0</v>
      </c>
      <c r="Q6" s="16"/>
      <c r="R6" s="23">
        <v>1.0</v>
      </c>
      <c r="S6" s="16"/>
      <c r="T6" s="16"/>
      <c r="U6" s="16"/>
      <c r="V6" s="23">
        <v>5.0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16"/>
    </row>
    <row r="7" ht="15.75" customHeight="1">
      <c r="A7" s="16">
        <v>4.0</v>
      </c>
      <c r="B7" s="23">
        <v>14.0</v>
      </c>
      <c r="C7" s="23"/>
      <c r="D7" s="38">
        <v>4.0</v>
      </c>
      <c r="E7" s="16"/>
      <c r="F7" s="23">
        <v>2.0</v>
      </c>
      <c r="G7" s="16"/>
      <c r="H7" s="38">
        <v>0.0</v>
      </c>
      <c r="I7" s="16"/>
      <c r="J7" s="23">
        <v>15.0</v>
      </c>
      <c r="M7" s="16">
        <v>4.0</v>
      </c>
      <c r="N7" s="23">
        <v>8.0</v>
      </c>
      <c r="O7" s="23">
        <v>1.0</v>
      </c>
      <c r="P7" s="27">
        <v>6.0</v>
      </c>
      <c r="Q7" s="16"/>
      <c r="R7" s="23">
        <v>0.0</v>
      </c>
      <c r="S7" s="23">
        <v>1.0</v>
      </c>
      <c r="T7" s="16"/>
      <c r="U7" s="16"/>
      <c r="V7" s="23">
        <v>7.0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16"/>
    </row>
    <row r="8" ht="15.75" customHeight="1">
      <c r="A8" s="16">
        <v>5.0</v>
      </c>
      <c r="B8" s="23">
        <v>12.0</v>
      </c>
      <c r="C8" s="16"/>
      <c r="D8" s="23">
        <v>3.0</v>
      </c>
      <c r="E8" s="16"/>
      <c r="F8" s="23">
        <v>2.0</v>
      </c>
      <c r="G8" s="16"/>
      <c r="H8" s="38">
        <v>0.0</v>
      </c>
      <c r="I8" s="16"/>
      <c r="J8" s="23">
        <v>16.0</v>
      </c>
      <c r="M8" s="16">
        <v>5.0</v>
      </c>
      <c r="N8" s="23">
        <v>9.0</v>
      </c>
      <c r="O8" s="23">
        <v>1.0</v>
      </c>
      <c r="P8" s="27">
        <v>5.0</v>
      </c>
      <c r="Q8" s="23">
        <v>1.0</v>
      </c>
      <c r="R8" s="23">
        <v>1.0</v>
      </c>
      <c r="S8" s="16"/>
      <c r="T8" s="16"/>
      <c r="U8" s="16"/>
      <c r="V8" s="23">
        <v>9.0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16"/>
    </row>
    <row r="9" ht="15.75" customHeight="1">
      <c r="A9" s="16">
        <v>6.0</v>
      </c>
      <c r="B9" s="23">
        <v>12.0</v>
      </c>
      <c r="C9" s="16"/>
      <c r="D9" s="23">
        <v>3.0</v>
      </c>
      <c r="E9" s="16"/>
      <c r="F9" s="23">
        <v>2.0</v>
      </c>
      <c r="G9" s="23">
        <v>1.0</v>
      </c>
      <c r="H9" s="38">
        <v>0.0</v>
      </c>
      <c r="I9" s="16"/>
      <c r="J9" s="23">
        <v>19.0</v>
      </c>
      <c r="M9" s="16">
        <v>6.0</v>
      </c>
      <c r="N9" s="23">
        <v>10.0</v>
      </c>
      <c r="O9" s="16"/>
      <c r="P9" s="23">
        <v>6.0</v>
      </c>
      <c r="Q9" s="16"/>
      <c r="R9" s="23">
        <v>1.0</v>
      </c>
      <c r="S9" s="16"/>
      <c r="T9" s="16"/>
      <c r="U9" s="16"/>
      <c r="V9" s="23">
        <v>9.0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16"/>
    </row>
    <row r="10" ht="15.75" customHeight="1">
      <c r="A10" s="16">
        <v>7.0</v>
      </c>
      <c r="B10" s="23">
        <v>12.0</v>
      </c>
      <c r="C10" s="16"/>
      <c r="D10" s="23">
        <v>3.0</v>
      </c>
      <c r="E10" s="16"/>
      <c r="F10" s="23">
        <v>3.0</v>
      </c>
      <c r="G10" s="16"/>
      <c r="H10" s="38">
        <v>0.0</v>
      </c>
      <c r="I10" s="16"/>
      <c r="J10" s="23">
        <v>19.0</v>
      </c>
      <c r="M10" s="16">
        <v>7.0</v>
      </c>
      <c r="N10" s="23">
        <v>9.0</v>
      </c>
      <c r="O10" s="23">
        <v>1.0</v>
      </c>
      <c r="P10" s="23">
        <v>6.0</v>
      </c>
      <c r="Q10" s="16"/>
      <c r="R10" s="23">
        <v>1.0</v>
      </c>
      <c r="S10" s="16"/>
      <c r="T10" s="16"/>
      <c r="U10" s="16"/>
      <c r="V10" s="23">
        <v>8.0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16"/>
    </row>
    <row r="11" ht="15.75" customHeight="1">
      <c r="A11" s="16">
        <v>8.0</v>
      </c>
      <c r="B11" s="23">
        <v>12.0</v>
      </c>
      <c r="C11" s="16"/>
      <c r="D11" s="23">
        <v>3.0</v>
      </c>
      <c r="E11" s="16"/>
      <c r="F11" s="23">
        <v>3.0</v>
      </c>
      <c r="G11" s="16"/>
      <c r="H11" s="38">
        <v>0.0</v>
      </c>
      <c r="I11" s="16"/>
      <c r="J11" s="23">
        <v>18.0</v>
      </c>
      <c r="M11" s="16">
        <v>8.0</v>
      </c>
      <c r="N11" s="23">
        <v>10.0</v>
      </c>
      <c r="O11" s="23">
        <v>1.0</v>
      </c>
      <c r="P11" s="23">
        <v>6.0</v>
      </c>
      <c r="Q11" s="23"/>
      <c r="R11" s="23">
        <v>1.0</v>
      </c>
      <c r="S11" s="16"/>
      <c r="T11" s="16"/>
      <c r="U11" s="16"/>
      <c r="V11" s="23">
        <v>9.0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16"/>
    </row>
    <row r="12" ht="15.75" customHeight="1">
      <c r="A12" s="16">
        <v>9.0</v>
      </c>
      <c r="B12" s="23">
        <v>12.0</v>
      </c>
      <c r="C12" s="23">
        <v>1.0</v>
      </c>
      <c r="D12" s="23">
        <v>3.0</v>
      </c>
      <c r="E12" s="16"/>
      <c r="F12" s="23">
        <v>3.0</v>
      </c>
      <c r="G12" s="16"/>
      <c r="H12" s="38">
        <v>0.0</v>
      </c>
      <c r="I12" s="16"/>
      <c r="J12" s="23">
        <v>20.0</v>
      </c>
      <c r="M12" s="16">
        <v>9.0</v>
      </c>
      <c r="N12" s="23">
        <v>11.0</v>
      </c>
      <c r="O12" s="23">
        <v>1.0</v>
      </c>
      <c r="P12" s="23">
        <v>6.0</v>
      </c>
      <c r="Q12" s="16"/>
      <c r="R12" s="23">
        <v>1.0</v>
      </c>
      <c r="S12" s="16"/>
      <c r="T12" s="16"/>
      <c r="U12" s="16"/>
      <c r="V12" s="23">
        <v>9.0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16"/>
    </row>
    <row r="13" ht="15.75" customHeight="1">
      <c r="A13" s="16">
        <v>10.0</v>
      </c>
      <c r="B13" s="23">
        <v>14.0</v>
      </c>
      <c r="C13" s="16"/>
      <c r="D13" s="23">
        <v>3.0</v>
      </c>
      <c r="E13" s="16"/>
      <c r="F13" s="23">
        <v>3.0</v>
      </c>
      <c r="G13" s="16"/>
      <c r="H13" s="38">
        <v>0.0</v>
      </c>
      <c r="I13" s="16"/>
      <c r="J13" s="23">
        <v>20.0</v>
      </c>
      <c r="M13" s="16">
        <v>10.0</v>
      </c>
      <c r="N13" s="23">
        <v>12.0</v>
      </c>
      <c r="O13" s="16"/>
      <c r="P13" s="23">
        <v>6.0</v>
      </c>
      <c r="Q13" s="16"/>
      <c r="R13" s="23">
        <v>1.0</v>
      </c>
      <c r="S13" s="16"/>
      <c r="T13" s="16"/>
      <c r="U13" s="16"/>
      <c r="V13" s="23">
        <v>9.0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16"/>
    </row>
    <row r="14" ht="15.75" customHeight="1">
      <c r="A14" s="16">
        <v>11.0</v>
      </c>
      <c r="B14" s="23">
        <v>13.0</v>
      </c>
      <c r="C14" s="23">
        <v>1.0</v>
      </c>
      <c r="D14" s="23">
        <v>3.0</v>
      </c>
      <c r="E14" s="16"/>
      <c r="F14" s="23">
        <v>3.0</v>
      </c>
      <c r="G14" s="16"/>
      <c r="H14" s="38">
        <v>0.0</v>
      </c>
      <c r="I14" s="16"/>
      <c r="J14" s="23">
        <v>20.0</v>
      </c>
      <c r="M14" s="16">
        <v>11.0</v>
      </c>
      <c r="N14" s="23">
        <v>10.0</v>
      </c>
      <c r="O14" s="23"/>
      <c r="P14" s="23">
        <v>5.0</v>
      </c>
      <c r="Q14" s="23">
        <v>1.0</v>
      </c>
      <c r="R14" s="23">
        <v>1.0</v>
      </c>
      <c r="S14" s="16"/>
      <c r="T14" s="16"/>
      <c r="U14" s="16"/>
      <c r="V14" s="23">
        <v>9.0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16"/>
    </row>
    <row r="15" ht="15.75" customHeight="1">
      <c r="A15" s="16">
        <v>12.0</v>
      </c>
      <c r="B15" s="23">
        <v>3.0</v>
      </c>
      <c r="C15" s="16"/>
      <c r="D15" s="23">
        <v>2.0</v>
      </c>
      <c r="E15" s="16"/>
      <c r="F15" s="23">
        <v>2.0</v>
      </c>
      <c r="G15" s="16"/>
      <c r="H15" s="38">
        <v>0.0</v>
      </c>
      <c r="I15" s="16"/>
      <c r="J15" s="23">
        <v>20.0</v>
      </c>
      <c r="M15" s="16">
        <v>12.0</v>
      </c>
      <c r="N15" s="23">
        <v>3.0</v>
      </c>
      <c r="O15" s="16"/>
      <c r="P15" s="23">
        <v>1.0</v>
      </c>
      <c r="Q15" s="16"/>
      <c r="R15" s="23">
        <v>1.0</v>
      </c>
      <c r="S15" s="16"/>
      <c r="T15" s="23">
        <v>0.0</v>
      </c>
      <c r="U15" s="16"/>
      <c r="V15" s="23">
        <v>10.0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16"/>
    </row>
    <row r="16" ht="15.75" customHeight="1">
      <c r="A16" s="16">
        <v>13.0</v>
      </c>
      <c r="B16" s="23">
        <v>3.0</v>
      </c>
      <c r="C16" s="16"/>
      <c r="D16" s="23">
        <v>2.0</v>
      </c>
      <c r="E16" s="16"/>
      <c r="F16" s="23">
        <v>1.0</v>
      </c>
      <c r="G16" s="16"/>
      <c r="H16" s="38">
        <v>0.0</v>
      </c>
      <c r="I16" s="16"/>
      <c r="J16" s="23">
        <v>18.0</v>
      </c>
      <c r="M16" s="16">
        <v>13.0</v>
      </c>
      <c r="N16" s="23">
        <v>3.0</v>
      </c>
      <c r="O16" s="16"/>
      <c r="P16" s="23">
        <v>1.0</v>
      </c>
      <c r="Q16" s="16"/>
      <c r="R16" s="23">
        <v>0.0</v>
      </c>
      <c r="S16" s="16"/>
      <c r="T16" s="23">
        <v>0.0</v>
      </c>
      <c r="U16" s="16"/>
      <c r="V16" s="23">
        <v>10.0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16"/>
    </row>
    <row r="17" ht="15.75" customHeight="1">
      <c r="A17" s="16">
        <v>14.0</v>
      </c>
      <c r="B17" s="23">
        <v>3.0</v>
      </c>
      <c r="C17" s="16"/>
      <c r="D17" s="23">
        <v>1.0</v>
      </c>
      <c r="E17" s="16"/>
      <c r="F17" s="23">
        <v>1.0</v>
      </c>
      <c r="G17" s="16"/>
      <c r="H17" s="38">
        <v>0.0</v>
      </c>
      <c r="I17" s="16"/>
      <c r="J17" s="23">
        <v>18.0</v>
      </c>
      <c r="M17" s="16">
        <v>14.0</v>
      </c>
      <c r="N17" s="23">
        <v>2.0</v>
      </c>
      <c r="O17" s="16"/>
      <c r="P17" s="23">
        <v>1.0</v>
      </c>
      <c r="Q17" s="16"/>
      <c r="R17" s="23">
        <v>0.0</v>
      </c>
      <c r="S17" s="16"/>
      <c r="T17" s="23">
        <v>0.0</v>
      </c>
      <c r="U17" s="16"/>
      <c r="V17" s="23">
        <v>10.0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16"/>
    </row>
    <row r="18" ht="15.75" customHeight="1">
      <c r="A18" s="16">
        <v>15.0</v>
      </c>
      <c r="B18" s="23">
        <v>4.0</v>
      </c>
      <c r="C18" s="16"/>
      <c r="D18" s="23">
        <v>1.0</v>
      </c>
      <c r="E18" s="16"/>
      <c r="F18" s="23">
        <v>1.0</v>
      </c>
      <c r="G18" s="16"/>
      <c r="H18" s="38">
        <v>0.0</v>
      </c>
      <c r="I18" s="16"/>
      <c r="J18" s="23">
        <v>19.0</v>
      </c>
      <c r="M18" s="16">
        <v>15.0</v>
      </c>
      <c r="N18" s="23">
        <v>2.0</v>
      </c>
      <c r="O18" s="16"/>
      <c r="P18" s="23">
        <v>1.0</v>
      </c>
      <c r="Q18" s="23">
        <v>1.0</v>
      </c>
      <c r="R18" s="23">
        <v>0.0</v>
      </c>
      <c r="S18" s="16"/>
      <c r="T18" s="23">
        <v>0.0</v>
      </c>
      <c r="U18" s="16"/>
      <c r="V18" s="23">
        <v>9.0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16"/>
    </row>
    <row r="19" ht="15.75" customHeight="1">
      <c r="A19" s="16">
        <v>16.0</v>
      </c>
      <c r="B19" s="23">
        <v>4.0</v>
      </c>
      <c r="C19" s="16"/>
      <c r="D19" s="23">
        <v>1.0</v>
      </c>
      <c r="E19" s="16"/>
      <c r="F19" s="23">
        <v>1.0</v>
      </c>
      <c r="G19" s="23"/>
      <c r="H19" s="38">
        <v>0.0</v>
      </c>
      <c r="I19" s="16"/>
      <c r="J19" s="23">
        <v>20.0</v>
      </c>
      <c r="M19" s="16">
        <v>16.0</v>
      </c>
      <c r="N19" s="23">
        <v>2.0</v>
      </c>
      <c r="O19" s="16"/>
      <c r="P19" s="23">
        <v>1.0</v>
      </c>
      <c r="Q19" s="16"/>
      <c r="R19" s="23">
        <v>0.0</v>
      </c>
      <c r="S19" s="16"/>
      <c r="T19" s="23">
        <v>0.0</v>
      </c>
      <c r="U19" s="16"/>
      <c r="V19" s="23">
        <v>8.0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16"/>
    </row>
    <row r="20" ht="15.75" customHeight="1">
      <c r="A20" s="16">
        <v>17.0</v>
      </c>
      <c r="B20" s="23">
        <v>4.0</v>
      </c>
      <c r="C20" s="23">
        <v>1.0</v>
      </c>
      <c r="D20" s="23">
        <v>0.0</v>
      </c>
      <c r="E20" s="23">
        <v>1.0</v>
      </c>
      <c r="F20" s="23">
        <v>1.0</v>
      </c>
      <c r="G20" s="16"/>
      <c r="H20" s="38">
        <v>0.0</v>
      </c>
      <c r="I20" s="16"/>
      <c r="J20" s="23">
        <v>17.0</v>
      </c>
      <c r="M20" s="16">
        <v>17.0</v>
      </c>
      <c r="N20" s="23">
        <v>1.0</v>
      </c>
      <c r="O20" s="16"/>
      <c r="P20" s="23">
        <v>1.0</v>
      </c>
      <c r="Q20" s="16"/>
      <c r="R20" s="23">
        <v>0.0</v>
      </c>
      <c r="S20" s="16"/>
      <c r="T20" s="23">
        <v>0.0</v>
      </c>
      <c r="U20" s="16"/>
      <c r="V20" s="23">
        <v>10.0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16"/>
    </row>
    <row r="21" ht="15.75" customHeight="1">
      <c r="A21" s="16">
        <v>18.0</v>
      </c>
      <c r="B21" s="23">
        <v>3.0</v>
      </c>
      <c r="C21" s="16"/>
      <c r="D21" s="23">
        <v>1.0</v>
      </c>
      <c r="E21" s="16"/>
      <c r="F21" s="23">
        <v>1.0</v>
      </c>
      <c r="G21" s="16"/>
      <c r="H21" s="38">
        <v>0.0</v>
      </c>
      <c r="I21" s="16"/>
      <c r="J21" s="23">
        <v>20.0</v>
      </c>
      <c r="M21" s="16">
        <v>18.0</v>
      </c>
      <c r="N21" s="23">
        <v>1.0</v>
      </c>
      <c r="O21" s="16"/>
      <c r="P21" s="23">
        <v>1.0</v>
      </c>
      <c r="Q21" s="16"/>
      <c r="R21" s="23">
        <v>0.0</v>
      </c>
      <c r="S21" s="16"/>
      <c r="T21" s="23">
        <v>0.0</v>
      </c>
      <c r="U21" s="23">
        <v>1.0</v>
      </c>
      <c r="V21" s="23">
        <v>10.0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16"/>
    </row>
    <row r="22" ht="15.75" customHeight="1">
      <c r="A22" s="16">
        <v>19.0</v>
      </c>
      <c r="B22" s="23">
        <v>2.0</v>
      </c>
      <c r="C22" s="16"/>
      <c r="D22" s="23">
        <v>0.0</v>
      </c>
      <c r="E22" s="16"/>
      <c r="F22" s="23">
        <v>1.0</v>
      </c>
      <c r="G22" s="16"/>
      <c r="H22" s="38">
        <v>0.0</v>
      </c>
      <c r="I22" s="16"/>
      <c r="J22" s="23">
        <v>20.0</v>
      </c>
      <c r="M22" s="16">
        <v>19.0</v>
      </c>
      <c r="N22" s="23">
        <v>2.0</v>
      </c>
      <c r="O22" s="23"/>
      <c r="P22" s="23">
        <v>1.0</v>
      </c>
      <c r="Q22" s="23"/>
      <c r="R22" s="23">
        <v>0.0</v>
      </c>
      <c r="S22" s="16"/>
      <c r="T22" s="23">
        <v>1.0</v>
      </c>
      <c r="U22" s="23">
        <v>1.0</v>
      </c>
      <c r="V22" s="23">
        <v>9.0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16"/>
    </row>
    <row r="23" ht="15.75" customHeight="1">
      <c r="A23" s="16">
        <v>20.0</v>
      </c>
      <c r="B23" s="23">
        <v>2.0</v>
      </c>
      <c r="C23" s="16"/>
      <c r="D23" s="23">
        <v>0.0</v>
      </c>
      <c r="E23" s="16"/>
      <c r="F23" s="23">
        <v>1.0</v>
      </c>
      <c r="G23" s="16"/>
      <c r="H23" s="38">
        <v>0.0</v>
      </c>
      <c r="I23" s="16"/>
      <c r="J23" s="23">
        <v>15.0</v>
      </c>
      <c r="M23" s="16">
        <v>20.0</v>
      </c>
      <c r="N23" s="23">
        <v>2.0</v>
      </c>
      <c r="O23" s="16"/>
      <c r="P23" s="23">
        <v>1.0</v>
      </c>
      <c r="Q23" s="16"/>
      <c r="R23" s="23">
        <v>0.0</v>
      </c>
      <c r="S23" s="16"/>
      <c r="T23" s="23">
        <v>2.0</v>
      </c>
      <c r="U23" s="16"/>
      <c r="V23" s="23">
        <v>10.0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16"/>
    </row>
    <row r="24" ht="15.75" customHeight="1">
      <c r="A24" s="16">
        <v>21.0</v>
      </c>
      <c r="B24" s="23">
        <v>1.0</v>
      </c>
      <c r="C24" s="16"/>
      <c r="D24" s="23">
        <v>0.0</v>
      </c>
      <c r="E24" s="16"/>
      <c r="F24" s="23">
        <v>1.0</v>
      </c>
      <c r="G24" s="16"/>
      <c r="H24" s="38">
        <v>0.0</v>
      </c>
      <c r="I24" s="16"/>
      <c r="J24" s="23">
        <v>14.0</v>
      </c>
      <c r="M24" s="16">
        <v>21.0</v>
      </c>
      <c r="N24" s="23">
        <v>2.0</v>
      </c>
      <c r="O24" s="16"/>
      <c r="P24" s="23">
        <v>1.0</v>
      </c>
      <c r="Q24" s="16"/>
      <c r="R24" s="23">
        <v>0.0</v>
      </c>
      <c r="S24" s="16"/>
      <c r="T24" s="23">
        <v>2.0</v>
      </c>
      <c r="U24" s="16"/>
      <c r="V24" s="23">
        <v>8.0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16"/>
    </row>
    <row r="25" ht="15.75" customHeight="1">
      <c r="A25" s="16">
        <v>22.0</v>
      </c>
      <c r="B25" s="23">
        <v>1.0</v>
      </c>
      <c r="C25" s="16"/>
      <c r="D25" s="23">
        <v>0.0</v>
      </c>
      <c r="E25" s="16"/>
      <c r="F25" s="23">
        <v>1.0</v>
      </c>
      <c r="G25" s="16"/>
      <c r="H25" s="38">
        <v>0.0</v>
      </c>
      <c r="I25" s="16"/>
      <c r="J25" s="23">
        <v>16.0</v>
      </c>
      <c r="M25" s="16">
        <v>22.0</v>
      </c>
      <c r="N25" s="23">
        <v>1.0</v>
      </c>
      <c r="O25" s="16"/>
      <c r="P25" s="23">
        <v>0.0</v>
      </c>
      <c r="Q25" s="16"/>
      <c r="R25" s="23">
        <v>0.0</v>
      </c>
      <c r="S25" s="16"/>
      <c r="T25" s="23">
        <v>2.0</v>
      </c>
      <c r="U25" s="16"/>
      <c r="V25" s="23">
        <v>7.0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16"/>
    </row>
    <row r="26" ht="15.75" customHeight="1">
      <c r="A26" s="16">
        <v>23.0</v>
      </c>
      <c r="B26" s="23">
        <v>1.0</v>
      </c>
      <c r="C26" s="23">
        <v>1.0</v>
      </c>
      <c r="D26" s="23">
        <v>0.0</v>
      </c>
      <c r="E26" s="16"/>
      <c r="F26" s="23">
        <v>1.0</v>
      </c>
      <c r="G26" s="16"/>
      <c r="H26" s="38">
        <v>0.0</v>
      </c>
      <c r="I26" s="16"/>
      <c r="J26" s="23">
        <v>18.0</v>
      </c>
      <c r="M26" s="16">
        <v>23.0</v>
      </c>
      <c r="N26" s="23">
        <v>1.0</v>
      </c>
      <c r="O26" s="16"/>
      <c r="P26" s="23">
        <v>0.0</v>
      </c>
      <c r="Q26" s="16"/>
      <c r="R26" s="23">
        <v>0.0</v>
      </c>
      <c r="S26" s="16"/>
      <c r="T26" s="23">
        <v>2.0</v>
      </c>
      <c r="U26" s="16"/>
      <c r="V26" s="23">
        <v>10.0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16"/>
    </row>
    <row r="27" ht="15.75" customHeight="1">
      <c r="A27" s="16">
        <v>24.0</v>
      </c>
      <c r="B27" s="23">
        <v>2.0</v>
      </c>
      <c r="C27" s="16"/>
      <c r="D27" s="23">
        <v>0.0</v>
      </c>
      <c r="E27" s="16"/>
      <c r="F27" s="23">
        <v>1.0</v>
      </c>
      <c r="G27" s="16"/>
      <c r="H27" s="38">
        <v>0.0</v>
      </c>
      <c r="I27" s="23">
        <v>1.0</v>
      </c>
      <c r="J27" s="38">
        <v>18.0</v>
      </c>
      <c r="M27" s="16">
        <v>24.0</v>
      </c>
      <c r="N27" s="23">
        <v>1.0</v>
      </c>
      <c r="O27" s="16"/>
      <c r="P27" s="23">
        <v>0.0</v>
      </c>
      <c r="Q27" s="16"/>
      <c r="R27" s="23">
        <v>0.0</v>
      </c>
      <c r="S27" s="16"/>
      <c r="T27" s="23">
        <v>2.0</v>
      </c>
      <c r="U27" s="16"/>
      <c r="V27" s="41">
        <v>9.0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42">
        <v>6.0</v>
      </c>
    </row>
    <row r="28" ht="15.75" customHeight="1">
      <c r="A28" s="16">
        <v>25.0</v>
      </c>
      <c r="B28" s="23">
        <v>1.0</v>
      </c>
      <c r="C28" s="16"/>
      <c r="D28" s="23">
        <v>0.0</v>
      </c>
      <c r="E28" s="16"/>
      <c r="F28" s="23">
        <v>0.0</v>
      </c>
      <c r="G28" s="16"/>
      <c r="H28" s="38">
        <v>1.0</v>
      </c>
      <c r="I28" s="16"/>
      <c r="J28" s="38">
        <v>18.0</v>
      </c>
      <c r="M28" s="16">
        <v>25.0</v>
      </c>
      <c r="N28" s="23">
        <v>0.0</v>
      </c>
      <c r="O28" s="16"/>
      <c r="P28" s="23">
        <v>0.0</v>
      </c>
      <c r="Q28" s="16"/>
      <c r="R28" s="23">
        <v>0.0</v>
      </c>
      <c r="S28" s="16"/>
      <c r="T28" s="23">
        <v>2.0</v>
      </c>
      <c r="U28" s="16"/>
      <c r="V28" s="41">
        <v>10.0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42">
        <v>7.0</v>
      </c>
    </row>
    <row r="29" ht="15.75" customHeight="1">
      <c r="A29" s="16">
        <v>26.0</v>
      </c>
      <c r="B29" s="23">
        <v>1.0</v>
      </c>
      <c r="C29" s="16"/>
      <c r="D29" s="23">
        <v>0.0</v>
      </c>
      <c r="E29" s="16"/>
      <c r="F29" s="23">
        <v>0.0</v>
      </c>
      <c r="G29" s="16"/>
      <c r="H29" s="38">
        <v>1.0</v>
      </c>
      <c r="I29" s="16"/>
      <c r="J29" s="38">
        <v>18.0</v>
      </c>
      <c r="M29" s="16">
        <v>26.0</v>
      </c>
      <c r="N29" s="23">
        <v>0.0</v>
      </c>
      <c r="O29" s="16"/>
      <c r="P29" s="23">
        <v>0.0</v>
      </c>
      <c r="Q29" s="16"/>
      <c r="R29" s="23">
        <v>0.0</v>
      </c>
      <c r="S29" s="16"/>
      <c r="T29" s="23">
        <v>2.0</v>
      </c>
      <c r="U29" s="16"/>
      <c r="V29" s="41">
        <v>10.0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42">
        <v>8.0</v>
      </c>
    </row>
    <row r="30" ht="15.75" customHeight="1">
      <c r="A30" s="16">
        <v>27.0</v>
      </c>
      <c r="B30" s="23">
        <v>2.0</v>
      </c>
      <c r="C30" s="16"/>
      <c r="D30" s="23">
        <v>0.0</v>
      </c>
      <c r="E30" s="16"/>
      <c r="F30" s="23">
        <v>0.0</v>
      </c>
      <c r="G30" s="16"/>
      <c r="H30" s="38">
        <v>1.0</v>
      </c>
      <c r="I30" s="16"/>
      <c r="J30" s="38">
        <v>20.0</v>
      </c>
      <c r="M30" s="16">
        <v>27.0</v>
      </c>
      <c r="N30" s="23">
        <v>0.0</v>
      </c>
      <c r="O30" s="23">
        <v>1.0</v>
      </c>
      <c r="P30" s="23">
        <v>0.0</v>
      </c>
      <c r="Q30" s="16"/>
      <c r="R30" s="23">
        <v>0.0</v>
      </c>
      <c r="S30" s="16"/>
      <c r="T30" s="23">
        <v>2.0</v>
      </c>
      <c r="U30" s="16"/>
      <c r="V30" s="41">
        <v>10.0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42">
        <v>9.0</v>
      </c>
    </row>
    <row r="31" ht="15.75" customHeight="1">
      <c r="A31" s="16">
        <v>28.0</v>
      </c>
      <c r="B31" s="23">
        <v>2.0</v>
      </c>
      <c r="C31" s="16"/>
      <c r="D31" s="23">
        <v>0.0</v>
      </c>
      <c r="E31" s="16"/>
      <c r="F31" s="23">
        <v>0.0</v>
      </c>
      <c r="G31" s="16"/>
      <c r="H31" s="23">
        <v>1.0</v>
      </c>
      <c r="I31" s="16"/>
      <c r="J31" s="40">
        <v>19.0</v>
      </c>
      <c r="M31" s="16">
        <v>28.0</v>
      </c>
      <c r="N31" s="23">
        <v>1.0</v>
      </c>
      <c r="O31" s="16"/>
      <c r="P31" s="23">
        <v>0.0</v>
      </c>
      <c r="Q31" s="16"/>
      <c r="R31" s="23">
        <v>0.0</v>
      </c>
      <c r="S31" s="16"/>
      <c r="T31" s="23">
        <v>2.0</v>
      </c>
      <c r="U31" s="16"/>
      <c r="V31" s="43">
        <v>10.0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40">
        <v>10.0</v>
      </c>
    </row>
    <row r="32" ht="15.75" customHeight="1">
      <c r="A32" s="16">
        <v>29.0</v>
      </c>
      <c r="B32" s="23">
        <v>2.0</v>
      </c>
      <c r="C32" s="16"/>
      <c r="D32" s="23">
        <v>0.0</v>
      </c>
      <c r="E32" s="16"/>
      <c r="F32" s="23">
        <v>0.0</v>
      </c>
      <c r="G32" s="16"/>
      <c r="H32" s="23">
        <v>1.0</v>
      </c>
      <c r="I32" s="16"/>
      <c r="J32" s="40">
        <v>20.0</v>
      </c>
      <c r="M32" s="16">
        <v>29.0</v>
      </c>
      <c r="N32" s="23">
        <v>1.0</v>
      </c>
      <c r="O32" s="16"/>
      <c r="P32" s="23">
        <v>0.0</v>
      </c>
      <c r="Q32" s="16"/>
      <c r="R32" s="23">
        <v>0.0</v>
      </c>
      <c r="S32" s="16"/>
      <c r="T32" s="23">
        <v>2.0</v>
      </c>
      <c r="U32" s="16"/>
      <c r="V32" s="43">
        <v>9.0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40">
        <v>9.0</v>
      </c>
    </row>
    <row r="33" ht="15.75" customHeight="1">
      <c r="A33" s="16">
        <v>30.0</v>
      </c>
      <c r="B33" s="23">
        <v>2.0</v>
      </c>
      <c r="C33" s="16"/>
      <c r="D33" s="23">
        <v>0.0</v>
      </c>
      <c r="E33" s="23">
        <v>1.0</v>
      </c>
      <c r="F33" s="23">
        <v>0.0</v>
      </c>
      <c r="G33" s="16"/>
      <c r="H33" s="23">
        <v>1.0</v>
      </c>
      <c r="I33" s="16"/>
      <c r="J33" s="38">
        <v>19.0</v>
      </c>
      <c r="M33" s="16">
        <v>30.0</v>
      </c>
      <c r="N33" s="23">
        <v>1.0</v>
      </c>
      <c r="O33" s="16"/>
      <c r="P33" s="23">
        <v>0.0</v>
      </c>
      <c r="Q33" s="16"/>
      <c r="R33" s="23">
        <v>0.0</v>
      </c>
      <c r="S33" s="16"/>
      <c r="T33" s="23">
        <v>2.0</v>
      </c>
      <c r="U33" s="16"/>
      <c r="V33" s="41">
        <v>10.0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42">
        <v>8.0</v>
      </c>
    </row>
    <row r="34" ht="15.75" customHeight="1">
      <c r="A34" s="16">
        <v>31.0</v>
      </c>
      <c r="B34" s="10"/>
      <c r="C34" s="10"/>
      <c r="D34" s="10"/>
      <c r="E34" s="10"/>
      <c r="F34" s="10"/>
      <c r="G34" s="10"/>
      <c r="H34" s="10"/>
      <c r="I34" s="10"/>
      <c r="J34" s="10"/>
      <c r="M34" s="16">
        <v>31.0</v>
      </c>
      <c r="N34" s="10"/>
      <c r="O34" s="10"/>
      <c r="P34" s="10"/>
      <c r="Q34" s="10"/>
      <c r="R34" s="10"/>
      <c r="S34" s="10"/>
      <c r="T34" s="10"/>
      <c r="U34" s="10"/>
      <c r="V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J35" si="1">SUM(B4:B34)</f>
        <v>182</v>
      </c>
      <c r="C35" s="28">
        <f t="shared" si="1"/>
        <v>5</v>
      </c>
      <c r="D35" s="28">
        <f t="shared" si="1"/>
        <v>40</v>
      </c>
      <c r="E35" s="28">
        <f t="shared" si="1"/>
        <v>4</v>
      </c>
      <c r="F35" s="28">
        <f t="shared" si="1"/>
        <v>39</v>
      </c>
      <c r="G35" s="28">
        <f t="shared" si="1"/>
        <v>2</v>
      </c>
      <c r="H35" s="28">
        <f t="shared" si="1"/>
        <v>6</v>
      </c>
      <c r="I35" s="28">
        <f t="shared" si="1"/>
        <v>1</v>
      </c>
      <c r="J35" s="28">
        <f t="shared" si="1"/>
        <v>543</v>
      </c>
      <c r="M35" s="28" t="s">
        <v>11</v>
      </c>
      <c r="N35" s="28">
        <f t="shared" ref="N35:V35" si="2">SUM(N4:N34)</f>
        <v>134</v>
      </c>
      <c r="O35" s="28">
        <f t="shared" si="2"/>
        <v>7</v>
      </c>
      <c r="P35" s="28">
        <f t="shared" si="2"/>
        <v>74</v>
      </c>
      <c r="Q35" s="28">
        <f t="shared" si="2"/>
        <v>3</v>
      </c>
      <c r="R35" s="28">
        <f t="shared" si="2"/>
        <v>11</v>
      </c>
      <c r="S35" s="28">
        <f t="shared" si="2"/>
        <v>3</v>
      </c>
      <c r="T35" s="28">
        <f t="shared" si="2"/>
        <v>23</v>
      </c>
      <c r="U35" s="28">
        <f t="shared" si="2"/>
        <v>2</v>
      </c>
      <c r="V35" s="28">
        <f t="shared" si="2"/>
        <v>266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57</v>
      </c>
    </row>
    <row r="36" ht="15.75" customHeight="1">
      <c r="A36" s="29" t="s">
        <v>12</v>
      </c>
      <c r="B36" s="28">
        <f t="shared" ref="B36:I36" si="4">(B35/$J$35)*1000</f>
        <v>335.174954</v>
      </c>
      <c r="C36" s="28">
        <f t="shared" si="4"/>
        <v>9.208103131</v>
      </c>
      <c r="D36" s="28">
        <f t="shared" si="4"/>
        <v>73.66482505</v>
      </c>
      <c r="E36" s="28">
        <f t="shared" si="4"/>
        <v>7.366482505</v>
      </c>
      <c r="F36" s="28">
        <f t="shared" si="4"/>
        <v>71.82320442</v>
      </c>
      <c r="G36" s="28">
        <f t="shared" si="4"/>
        <v>3.683241252</v>
      </c>
      <c r="H36" s="28">
        <f t="shared" si="4"/>
        <v>11.04972376</v>
      </c>
      <c r="I36" s="28">
        <f t="shared" si="4"/>
        <v>1.841620626</v>
      </c>
      <c r="J36" s="28">
        <f>(J35/$J$35)*100</f>
        <v>100</v>
      </c>
      <c r="M36" s="29" t="s">
        <v>12</v>
      </c>
      <c r="N36" s="28">
        <f t="shared" ref="N36:U36" si="5">(N35/$V$35)*100</f>
        <v>50.37593985</v>
      </c>
      <c r="O36" s="28">
        <f t="shared" si="5"/>
        <v>2.631578947</v>
      </c>
      <c r="P36" s="28">
        <f t="shared" si="5"/>
        <v>27.81954887</v>
      </c>
      <c r="Q36" s="28">
        <f t="shared" si="5"/>
        <v>1.127819549</v>
      </c>
      <c r="R36" s="28">
        <f t="shared" si="5"/>
        <v>4.135338346</v>
      </c>
      <c r="S36" s="28">
        <f t="shared" si="5"/>
        <v>1.127819549</v>
      </c>
      <c r="T36" s="28">
        <f t="shared" si="5"/>
        <v>8.646616541</v>
      </c>
      <c r="U36" s="28">
        <f t="shared" si="5"/>
        <v>0.7518796992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W2" s="28" t="s">
        <v>17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2.0</v>
      </c>
      <c r="C4" s="16"/>
      <c r="D4" s="23">
        <v>1.0</v>
      </c>
      <c r="E4" s="16"/>
      <c r="F4" s="23">
        <v>0.0</v>
      </c>
      <c r="G4" s="16"/>
      <c r="H4" s="23">
        <v>1.0</v>
      </c>
      <c r="I4" s="16"/>
      <c r="J4" s="42">
        <v>19.0</v>
      </c>
      <c r="M4" s="16">
        <v>1.0</v>
      </c>
      <c r="N4" s="23">
        <v>0.0</v>
      </c>
      <c r="O4" s="16"/>
      <c r="P4" s="23">
        <v>0.0</v>
      </c>
      <c r="Q4" s="16"/>
      <c r="R4" s="23">
        <v>0.0</v>
      </c>
      <c r="S4" s="16"/>
      <c r="T4" s="23">
        <v>2.0</v>
      </c>
      <c r="U4" s="16"/>
      <c r="V4" s="42">
        <v>8.0</v>
      </c>
      <c r="W4" s="28">
        <v>1.0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42">
        <v>9.0</v>
      </c>
    </row>
    <row r="5" ht="15.75" customHeight="1">
      <c r="A5" s="16">
        <v>2.0</v>
      </c>
      <c r="B5" s="23">
        <v>2.0</v>
      </c>
      <c r="C5" s="16"/>
      <c r="D5" s="23">
        <v>1.0</v>
      </c>
      <c r="E5" s="16"/>
      <c r="F5" s="23">
        <v>0.0</v>
      </c>
      <c r="G5" s="16"/>
      <c r="H5" s="23">
        <v>1.0</v>
      </c>
      <c r="I5" s="16"/>
      <c r="J5" s="42">
        <v>18.0</v>
      </c>
      <c r="M5" s="16">
        <v>2.0</v>
      </c>
      <c r="N5" s="23">
        <v>0.0</v>
      </c>
      <c r="O5" s="16"/>
      <c r="P5" s="23">
        <v>0.0</v>
      </c>
      <c r="Q5" s="16"/>
      <c r="R5" s="23">
        <v>0.0</v>
      </c>
      <c r="S5" s="16"/>
      <c r="T5" s="23">
        <v>1.0</v>
      </c>
      <c r="U5" s="16"/>
      <c r="V5" s="42">
        <v>8.0</v>
      </c>
      <c r="W5" s="28">
        <v>1.0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42">
        <v>8.0</v>
      </c>
    </row>
    <row r="6" ht="15.75" customHeight="1">
      <c r="A6" s="16">
        <v>3.0</v>
      </c>
      <c r="B6" s="23">
        <v>2.0</v>
      </c>
      <c r="C6" s="16"/>
      <c r="D6" s="23">
        <v>1.0</v>
      </c>
      <c r="E6" s="16"/>
      <c r="F6" s="23">
        <v>0.0</v>
      </c>
      <c r="G6" s="16"/>
      <c r="H6" s="23">
        <v>1.0</v>
      </c>
      <c r="I6" s="16"/>
      <c r="J6" s="42">
        <v>17.0</v>
      </c>
      <c r="M6" s="16">
        <v>3.0</v>
      </c>
      <c r="N6" s="23">
        <v>0.0</v>
      </c>
      <c r="O6" s="16"/>
      <c r="P6" s="23">
        <v>0.0</v>
      </c>
      <c r="Q6" s="16"/>
      <c r="R6" s="23">
        <v>0.0</v>
      </c>
      <c r="S6" s="16"/>
      <c r="T6" s="23">
        <v>1.0</v>
      </c>
      <c r="U6" s="16"/>
      <c r="V6" s="42">
        <v>6.0</v>
      </c>
      <c r="W6" s="28">
        <v>1.0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42">
        <v>9.0</v>
      </c>
    </row>
    <row r="7" ht="15.75" customHeight="1">
      <c r="A7" s="16">
        <v>4.0</v>
      </c>
      <c r="B7" s="23">
        <v>1.0</v>
      </c>
      <c r="C7" s="16"/>
      <c r="D7" s="23">
        <v>0.0</v>
      </c>
      <c r="E7" s="16"/>
      <c r="F7" s="23">
        <v>0.0</v>
      </c>
      <c r="G7" s="16"/>
      <c r="H7" s="23">
        <v>1.0</v>
      </c>
      <c r="I7" s="16"/>
      <c r="J7" s="42">
        <v>16.0</v>
      </c>
      <c r="M7" s="16">
        <v>4.0</v>
      </c>
      <c r="N7" s="23">
        <v>0.0</v>
      </c>
      <c r="O7" s="16"/>
      <c r="P7" s="23">
        <v>0.0</v>
      </c>
      <c r="Q7" s="16"/>
      <c r="R7" s="23">
        <v>0.0</v>
      </c>
      <c r="S7" s="16"/>
      <c r="T7" s="23">
        <v>1.0</v>
      </c>
      <c r="U7" s="16"/>
      <c r="V7" s="42">
        <v>7.0</v>
      </c>
      <c r="W7" s="28">
        <v>1.0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42">
        <v>9.0</v>
      </c>
    </row>
    <row r="8" ht="15.75" customHeight="1">
      <c r="A8" s="16">
        <v>5.0</v>
      </c>
      <c r="B8" s="23">
        <v>1.0</v>
      </c>
      <c r="C8" s="16"/>
      <c r="D8" s="23">
        <v>0.0</v>
      </c>
      <c r="E8" s="16"/>
      <c r="F8" s="23">
        <v>0.0</v>
      </c>
      <c r="G8" s="16"/>
      <c r="H8" s="23">
        <v>1.0</v>
      </c>
      <c r="I8" s="16"/>
      <c r="J8" s="40">
        <v>18.0</v>
      </c>
      <c r="M8" s="16">
        <v>5.0</v>
      </c>
      <c r="N8" s="23">
        <v>0.0</v>
      </c>
      <c r="O8" s="16"/>
      <c r="P8" s="23">
        <v>0.0</v>
      </c>
      <c r="Q8" s="16"/>
      <c r="R8" s="23">
        <v>0.0</v>
      </c>
      <c r="S8" s="16"/>
      <c r="T8" s="23">
        <v>1.0</v>
      </c>
      <c r="U8" s="16"/>
      <c r="V8" s="40">
        <v>7.0</v>
      </c>
      <c r="W8" s="28">
        <v>1.0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40">
        <v>10.0</v>
      </c>
    </row>
    <row r="9" ht="15.75" customHeight="1">
      <c r="A9" s="16">
        <v>6.0</v>
      </c>
      <c r="B9" s="23">
        <v>1.0</v>
      </c>
      <c r="C9" s="16"/>
      <c r="D9" s="23">
        <v>0.0</v>
      </c>
      <c r="E9" s="16"/>
      <c r="F9" s="23">
        <v>0.0</v>
      </c>
      <c r="G9" s="16"/>
      <c r="H9" s="23">
        <v>1.0</v>
      </c>
      <c r="I9" s="16"/>
      <c r="J9" s="40">
        <v>20.0</v>
      </c>
      <c r="M9" s="16">
        <v>6.0</v>
      </c>
      <c r="N9" s="23">
        <v>0.0</v>
      </c>
      <c r="O9" s="23">
        <v>1.0</v>
      </c>
      <c r="P9" s="23">
        <v>0.0</v>
      </c>
      <c r="Q9" s="16"/>
      <c r="R9" s="23">
        <v>0.0</v>
      </c>
      <c r="S9" s="16"/>
      <c r="T9" s="23">
        <v>0.0</v>
      </c>
      <c r="U9" s="16"/>
      <c r="V9" s="40">
        <v>8.0</v>
      </c>
      <c r="W9" s="28">
        <v>1.0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40">
        <v>9.0</v>
      </c>
    </row>
    <row r="10" ht="15.75" customHeight="1">
      <c r="A10" s="16">
        <v>7.0</v>
      </c>
      <c r="B10" s="23">
        <v>1.0</v>
      </c>
      <c r="C10" s="23">
        <v>2.0</v>
      </c>
      <c r="D10" s="23">
        <v>0.0</v>
      </c>
      <c r="E10" s="16"/>
      <c r="F10" s="23">
        <v>0.0</v>
      </c>
      <c r="G10" s="16"/>
      <c r="H10" s="23">
        <v>1.0</v>
      </c>
      <c r="I10" s="16"/>
      <c r="J10" s="42">
        <v>16.0</v>
      </c>
      <c r="M10" s="16">
        <v>7.0</v>
      </c>
      <c r="N10" s="23">
        <v>1.0</v>
      </c>
      <c r="O10" s="16"/>
      <c r="P10" s="23">
        <v>0.0</v>
      </c>
      <c r="Q10" s="16"/>
      <c r="R10" s="23">
        <v>0.0</v>
      </c>
      <c r="S10" s="16"/>
      <c r="T10" s="23">
        <v>0.0</v>
      </c>
      <c r="U10" s="16"/>
      <c r="V10" s="42">
        <v>9.0</v>
      </c>
      <c r="W10" s="28">
        <v>1.0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42">
        <v>9.0</v>
      </c>
    </row>
    <row r="11" ht="15.75" customHeight="1">
      <c r="A11" s="16">
        <v>8.0</v>
      </c>
      <c r="B11" s="23">
        <v>3.0</v>
      </c>
      <c r="C11" s="16"/>
      <c r="D11" s="23">
        <v>0.0</v>
      </c>
      <c r="E11" s="16"/>
      <c r="F11" s="23">
        <v>0.0</v>
      </c>
      <c r="G11" s="16"/>
      <c r="H11" s="23">
        <v>1.0</v>
      </c>
      <c r="I11" s="16"/>
      <c r="J11" s="42">
        <v>14.0</v>
      </c>
      <c r="M11" s="16">
        <v>8.0</v>
      </c>
      <c r="N11" s="23">
        <v>1.0</v>
      </c>
      <c r="O11" s="16"/>
      <c r="P11" s="23">
        <v>0.0</v>
      </c>
      <c r="Q11" s="16"/>
      <c r="R11" s="23">
        <v>0.0</v>
      </c>
      <c r="S11" s="16"/>
      <c r="T11" s="23">
        <v>0.0</v>
      </c>
      <c r="U11" s="16"/>
      <c r="V11" s="42">
        <v>7.0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42">
        <v>11.0</v>
      </c>
    </row>
    <row r="12" ht="15.75" customHeight="1">
      <c r="A12" s="16">
        <v>9.0</v>
      </c>
      <c r="B12" s="23">
        <v>3.0</v>
      </c>
      <c r="C12" s="16"/>
      <c r="D12" s="23">
        <v>0.0</v>
      </c>
      <c r="E12" s="16"/>
      <c r="F12" s="23">
        <v>0.0</v>
      </c>
      <c r="G12" s="16"/>
      <c r="H12" s="23">
        <v>1.0</v>
      </c>
      <c r="I12" s="16"/>
      <c r="J12" s="40">
        <v>20.0</v>
      </c>
      <c r="M12" s="16">
        <v>9.0</v>
      </c>
      <c r="N12" s="23">
        <v>0.0</v>
      </c>
      <c r="O12" s="16"/>
      <c r="P12" s="23">
        <v>0.0</v>
      </c>
      <c r="Q12" s="16"/>
      <c r="R12" s="23">
        <v>0.0</v>
      </c>
      <c r="S12" s="16"/>
      <c r="T12" s="23">
        <v>0.0</v>
      </c>
      <c r="U12" s="16"/>
      <c r="V12" s="40">
        <v>12.0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40">
        <v>13.0</v>
      </c>
    </row>
    <row r="13" ht="15.75" customHeight="1">
      <c r="A13" s="16">
        <v>10.0</v>
      </c>
      <c r="B13" s="23">
        <v>3.0</v>
      </c>
      <c r="C13" s="16"/>
      <c r="D13" s="23">
        <v>0.0</v>
      </c>
      <c r="E13" s="16"/>
      <c r="F13" s="23">
        <v>0.0</v>
      </c>
      <c r="G13" s="16"/>
      <c r="H13" s="23">
        <v>1.0</v>
      </c>
      <c r="I13" s="16"/>
      <c r="J13" s="42">
        <v>17.0</v>
      </c>
      <c r="M13" s="16">
        <v>10.0</v>
      </c>
      <c r="N13" s="23">
        <v>0.0</v>
      </c>
      <c r="O13" s="16"/>
      <c r="P13" s="23">
        <v>0.0</v>
      </c>
      <c r="Q13" s="16"/>
      <c r="R13" s="23">
        <v>0.0</v>
      </c>
      <c r="S13" s="16"/>
      <c r="T13" s="23">
        <v>0.0</v>
      </c>
      <c r="U13" s="16"/>
      <c r="V13" s="42">
        <v>9.0</v>
      </c>
      <c r="W13" s="28">
        <v>1.0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42">
        <v>9.0</v>
      </c>
    </row>
    <row r="14" ht="15.75" customHeight="1">
      <c r="A14" s="16">
        <v>11.0</v>
      </c>
      <c r="B14" s="23">
        <v>2.0</v>
      </c>
      <c r="C14" s="23">
        <v>1.0</v>
      </c>
      <c r="D14" s="23">
        <v>0.0</v>
      </c>
      <c r="E14" s="16"/>
      <c r="F14" s="23">
        <v>0.0</v>
      </c>
      <c r="G14" s="16"/>
      <c r="H14" s="23">
        <v>1.0</v>
      </c>
      <c r="I14" s="16"/>
      <c r="J14" s="42">
        <v>15.0</v>
      </c>
      <c r="M14" s="16">
        <v>11.0</v>
      </c>
      <c r="N14" s="23">
        <v>0.0</v>
      </c>
      <c r="O14" s="16"/>
      <c r="P14" s="23">
        <v>0.0</v>
      </c>
      <c r="Q14" s="16"/>
      <c r="R14" s="23">
        <v>0.0</v>
      </c>
      <c r="S14" s="16"/>
      <c r="T14" s="23">
        <v>0.0</v>
      </c>
      <c r="U14" s="16"/>
      <c r="V14" s="42">
        <v>9.0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42">
        <v>10.0</v>
      </c>
    </row>
    <row r="15" ht="15.75" customHeight="1">
      <c r="A15" s="16">
        <v>12.0</v>
      </c>
      <c r="B15" s="23">
        <v>3.0</v>
      </c>
      <c r="C15" s="16"/>
      <c r="D15" s="23">
        <v>0.0</v>
      </c>
      <c r="E15" s="16"/>
      <c r="F15" s="23">
        <v>0.0</v>
      </c>
      <c r="G15" s="16"/>
      <c r="H15" s="23">
        <v>1.0</v>
      </c>
      <c r="I15" s="16"/>
      <c r="J15" s="40">
        <v>19.0</v>
      </c>
      <c r="M15" s="16">
        <v>12.0</v>
      </c>
      <c r="N15" s="23">
        <v>0.0</v>
      </c>
      <c r="O15" s="16"/>
      <c r="P15" s="23">
        <v>0.0</v>
      </c>
      <c r="Q15" s="16"/>
      <c r="R15" s="23">
        <v>0.0</v>
      </c>
      <c r="S15" s="16"/>
      <c r="T15" s="23">
        <v>0.0</v>
      </c>
      <c r="U15" s="16"/>
      <c r="V15" s="40">
        <v>11.0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40">
        <v>13.0</v>
      </c>
    </row>
    <row r="16" ht="15.75" customHeight="1">
      <c r="A16" s="16">
        <v>13.0</v>
      </c>
      <c r="B16" s="23">
        <v>3.0</v>
      </c>
      <c r="C16" s="16"/>
      <c r="D16" s="23">
        <v>0.0</v>
      </c>
      <c r="E16" s="16"/>
      <c r="F16" s="23">
        <v>0.0</v>
      </c>
      <c r="G16" s="16"/>
      <c r="H16" s="23">
        <v>1.0</v>
      </c>
      <c r="I16" s="16"/>
      <c r="J16" s="40">
        <v>20.0</v>
      </c>
      <c r="M16" s="16">
        <v>13.0</v>
      </c>
      <c r="N16" s="23">
        <v>0.0</v>
      </c>
      <c r="O16" s="16"/>
      <c r="P16" s="23">
        <v>0.0</v>
      </c>
      <c r="Q16" s="16"/>
      <c r="R16" s="23">
        <v>0.0</v>
      </c>
      <c r="S16" s="16"/>
      <c r="T16" s="23">
        <v>0.0</v>
      </c>
      <c r="U16" s="16"/>
      <c r="V16" s="40">
        <v>9.0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40">
        <v>12.0</v>
      </c>
    </row>
    <row r="17" ht="15.75" customHeight="1">
      <c r="A17" s="16">
        <v>14.0</v>
      </c>
      <c r="B17" s="23">
        <v>3.0</v>
      </c>
      <c r="C17" s="23">
        <v>1.0</v>
      </c>
      <c r="D17" s="23">
        <v>0.0</v>
      </c>
      <c r="E17" s="16"/>
      <c r="F17" s="23">
        <v>0.0</v>
      </c>
      <c r="G17" s="23">
        <v>1.0</v>
      </c>
      <c r="H17" s="23">
        <v>1.0</v>
      </c>
      <c r="I17" s="16"/>
      <c r="J17" s="42">
        <v>18.0</v>
      </c>
      <c r="M17" s="16">
        <v>14.0</v>
      </c>
      <c r="N17" s="23">
        <v>0.0</v>
      </c>
      <c r="O17" s="16"/>
      <c r="P17" s="23">
        <v>0.0</v>
      </c>
      <c r="Q17" s="16"/>
      <c r="R17" s="23">
        <v>0.0</v>
      </c>
      <c r="S17" s="16"/>
      <c r="T17" s="23">
        <v>0.0</v>
      </c>
      <c r="U17" s="16"/>
      <c r="V17" s="42">
        <v>9.0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42">
        <v>12.0</v>
      </c>
    </row>
    <row r="18" ht="15.75" customHeight="1">
      <c r="A18" s="16">
        <v>15.0</v>
      </c>
      <c r="B18" s="23">
        <v>4.0</v>
      </c>
      <c r="C18" s="23">
        <v>1.0</v>
      </c>
      <c r="D18" s="23">
        <v>0.0</v>
      </c>
      <c r="E18" s="16"/>
      <c r="F18" s="23">
        <v>1.0</v>
      </c>
      <c r="G18" s="16"/>
      <c r="H18" s="23">
        <v>1.0</v>
      </c>
      <c r="I18" s="16"/>
      <c r="J18" s="44">
        <v>19.0</v>
      </c>
      <c r="M18" s="16">
        <v>15.0</v>
      </c>
      <c r="N18" s="23">
        <v>0.0</v>
      </c>
      <c r="O18" s="16"/>
      <c r="P18" s="23">
        <v>0.0</v>
      </c>
      <c r="Q18" s="16"/>
      <c r="R18" s="23">
        <v>0.0</v>
      </c>
      <c r="S18" s="16"/>
      <c r="T18" s="23">
        <v>0.0</v>
      </c>
      <c r="U18" s="16"/>
      <c r="V18" s="42">
        <v>10.0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42">
        <v>10.0</v>
      </c>
    </row>
    <row r="19" ht="15.75" customHeight="1">
      <c r="A19" s="16">
        <v>16.0</v>
      </c>
      <c r="B19" s="23">
        <v>5.0</v>
      </c>
      <c r="C19" s="16"/>
      <c r="D19" s="23">
        <v>0.0</v>
      </c>
      <c r="E19" s="16"/>
      <c r="F19" s="23">
        <v>1.0</v>
      </c>
      <c r="G19" s="16"/>
      <c r="H19" s="23">
        <v>1.0</v>
      </c>
      <c r="I19" s="16"/>
      <c r="J19" s="42">
        <v>20.0</v>
      </c>
      <c r="M19" s="16">
        <v>16.0</v>
      </c>
      <c r="N19" s="23">
        <v>0.0</v>
      </c>
      <c r="O19" s="16"/>
      <c r="P19" s="23">
        <v>0.0</v>
      </c>
      <c r="Q19" s="16"/>
      <c r="R19" s="23">
        <v>0.0</v>
      </c>
      <c r="S19" s="16"/>
      <c r="T19" s="23">
        <v>0.0</v>
      </c>
      <c r="U19" s="16"/>
      <c r="V19" s="42">
        <v>20.0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42">
        <v>9.0</v>
      </c>
    </row>
    <row r="20" ht="15.75" customHeight="1">
      <c r="A20" s="16">
        <v>17.0</v>
      </c>
      <c r="B20" s="23">
        <v>3.0</v>
      </c>
      <c r="C20" s="23"/>
      <c r="D20" s="23">
        <v>0.0</v>
      </c>
      <c r="E20" s="23">
        <v>1.0</v>
      </c>
      <c r="F20" s="23">
        <v>1.0</v>
      </c>
      <c r="G20" s="16"/>
      <c r="H20" s="23">
        <v>1.0</v>
      </c>
      <c r="I20" s="16"/>
      <c r="J20" s="42">
        <v>17.0</v>
      </c>
      <c r="M20" s="16">
        <v>17.0</v>
      </c>
      <c r="N20" s="23">
        <v>0.0</v>
      </c>
      <c r="O20" s="16"/>
      <c r="P20" s="23">
        <v>0.0</v>
      </c>
      <c r="Q20" s="16"/>
      <c r="R20" s="23">
        <v>0.0</v>
      </c>
      <c r="S20" s="16"/>
      <c r="T20" s="23">
        <v>0.0</v>
      </c>
      <c r="U20" s="16"/>
      <c r="V20" s="42">
        <v>8.0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42">
        <v>11.0</v>
      </c>
    </row>
    <row r="21" ht="15.75" customHeight="1">
      <c r="A21" s="16">
        <v>18.0</v>
      </c>
      <c r="B21" s="23">
        <v>2.0</v>
      </c>
      <c r="C21" s="23"/>
      <c r="D21" s="23">
        <v>1.0</v>
      </c>
      <c r="E21" s="16"/>
      <c r="F21" s="23">
        <v>1.0</v>
      </c>
      <c r="G21" s="16"/>
      <c r="H21" s="23">
        <v>1.0</v>
      </c>
      <c r="I21" s="16"/>
      <c r="J21" s="42">
        <v>15.0</v>
      </c>
      <c r="M21" s="16">
        <v>18.0</v>
      </c>
      <c r="N21" s="23">
        <v>0.0</v>
      </c>
      <c r="O21" s="23">
        <v>1.0</v>
      </c>
      <c r="P21" s="23">
        <v>0.0</v>
      </c>
      <c r="Q21" s="16"/>
      <c r="R21" s="23">
        <v>0.0</v>
      </c>
      <c r="S21" s="16"/>
      <c r="T21" s="23">
        <v>0.0</v>
      </c>
      <c r="U21" s="16"/>
      <c r="V21" s="42">
        <v>10.0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42">
        <v>9.0</v>
      </c>
    </row>
    <row r="22" ht="15.75" customHeight="1">
      <c r="A22" s="16">
        <v>19.0</v>
      </c>
      <c r="B22" s="23">
        <v>2.0</v>
      </c>
      <c r="C22" s="23"/>
      <c r="D22" s="23">
        <v>1.0</v>
      </c>
      <c r="E22" s="16"/>
      <c r="F22" s="23">
        <v>1.0</v>
      </c>
      <c r="G22" s="16"/>
      <c r="H22" s="23">
        <v>1.0</v>
      </c>
      <c r="I22" s="16"/>
      <c r="J22" s="40">
        <v>20.0</v>
      </c>
      <c r="M22" s="16">
        <v>19.0</v>
      </c>
      <c r="N22" s="23">
        <v>1.0</v>
      </c>
      <c r="O22" s="23">
        <v>1.0</v>
      </c>
      <c r="P22" s="23">
        <v>0.0</v>
      </c>
      <c r="Q22" s="16"/>
      <c r="R22" s="23">
        <v>0.0</v>
      </c>
      <c r="S22" s="16"/>
      <c r="T22" s="23">
        <v>0.0</v>
      </c>
      <c r="U22" s="16"/>
      <c r="V22" s="40">
        <v>9.0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40">
        <v>9.0</v>
      </c>
    </row>
    <row r="23" ht="15.75" customHeight="1">
      <c r="A23" s="16">
        <v>20.0</v>
      </c>
      <c r="B23" s="23">
        <v>1.0</v>
      </c>
      <c r="C23" s="23">
        <v>1.0</v>
      </c>
      <c r="D23" s="23">
        <v>1.0</v>
      </c>
      <c r="E23" s="16"/>
      <c r="F23" s="23">
        <v>1.0</v>
      </c>
      <c r="G23" s="16"/>
      <c r="H23" s="23">
        <v>1.0</v>
      </c>
      <c r="I23" s="16"/>
      <c r="J23" s="40">
        <v>22.0</v>
      </c>
      <c r="M23" s="16">
        <v>20.0</v>
      </c>
      <c r="N23" s="23">
        <v>2.0</v>
      </c>
      <c r="O23" s="16"/>
      <c r="P23" s="23">
        <v>0.0</v>
      </c>
      <c r="Q23" s="16"/>
      <c r="R23" s="23">
        <v>0.0</v>
      </c>
      <c r="S23" s="16"/>
      <c r="T23" s="23">
        <v>0.0</v>
      </c>
      <c r="U23" s="16"/>
      <c r="V23" s="40">
        <v>11.0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40">
        <v>9.0</v>
      </c>
    </row>
    <row r="24" ht="15.75" customHeight="1">
      <c r="A24" s="16">
        <v>21.0</v>
      </c>
      <c r="B24" s="23">
        <v>2.0</v>
      </c>
      <c r="C24" s="23">
        <v>1.0</v>
      </c>
      <c r="D24" s="23">
        <v>1.0</v>
      </c>
      <c r="E24" s="16"/>
      <c r="F24" s="23">
        <v>1.0</v>
      </c>
      <c r="G24" s="16"/>
      <c r="H24" s="23">
        <v>1.0</v>
      </c>
      <c r="I24" s="16"/>
      <c r="J24" s="42">
        <v>16.0</v>
      </c>
      <c r="M24" s="16">
        <v>21.0</v>
      </c>
      <c r="N24" s="23">
        <v>2.0</v>
      </c>
      <c r="O24" s="23">
        <v>1.0</v>
      </c>
      <c r="P24" s="23">
        <v>0.0</v>
      </c>
      <c r="Q24" s="16"/>
      <c r="R24" s="23">
        <v>0.0</v>
      </c>
      <c r="S24" s="16"/>
      <c r="T24" s="23">
        <v>0.0</v>
      </c>
      <c r="U24" s="16"/>
      <c r="V24" s="42">
        <v>10.0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42">
        <v>11.0</v>
      </c>
    </row>
    <row r="25" ht="15.75" customHeight="1">
      <c r="A25" s="16">
        <v>22.0</v>
      </c>
      <c r="B25" s="23">
        <v>1.0</v>
      </c>
      <c r="C25" s="16"/>
      <c r="D25" s="23">
        <v>1.0</v>
      </c>
      <c r="E25" s="16"/>
      <c r="F25" s="23">
        <v>1.0</v>
      </c>
      <c r="G25" s="16"/>
      <c r="H25" s="23">
        <v>1.0</v>
      </c>
      <c r="I25" s="16"/>
      <c r="J25" s="42">
        <v>17.0</v>
      </c>
      <c r="M25" s="16">
        <v>22.0</v>
      </c>
      <c r="N25" s="23">
        <v>3.0</v>
      </c>
      <c r="O25" s="16"/>
      <c r="P25" s="23">
        <v>0.0</v>
      </c>
      <c r="Q25" s="16"/>
      <c r="R25" s="23">
        <v>0.0</v>
      </c>
      <c r="S25" s="16"/>
      <c r="T25" s="23">
        <v>0.0</v>
      </c>
      <c r="U25" s="16"/>
      <c r="V25" s="42">
        <v>9.0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42">
        <v>11.0</v>
      </c>
    </row>
    <row r="26" ht="15.75" customHeight="1">
      <c r="A26" s="16">
        <v>23.0</v>
      </c>
      <c r="B26" s="23">
        <v>0.0</v>
      </c>
      <c r="C26" s="16"/>
      <c r="D26" s="23">
        <v>1.0</v>
      </c>
      <c r="E26" s="16"/>
      <c r="F26" s="23">
        <v>1.0</v>
      </c>
      <c r="G26" s="16"/>
      <c r="H26" s="23">
        <v>0.0</v>
      </c>
      <c r="I26" s="23">
        <v>1.0</v>
      </c>
      <c r="J26" s="42">
        <v>17.0</v>
      </c>
      <c r="M26" s="16">
        <v>23.0</v>
      </c>
      <c r="N26" s="23">
        <v>3.0</v>
      </c>
      <c r="O26" s="16"/>
      <c r="P26" s="23">
        <v>0.0</v>
      </c>
      <c r="Q26" s="16"/>
      <c r="R26" s="23">
        <v>0.0</v>
      </c>
      <c r="S26" s="16"/>
      <c r="T26" s="23">
        <v>0.0</v>
      </c>
      <c r="U26" s="16"/>
      <c r="V26" s="42">
        <v>9.0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42">
        <v>10.0</v>
      </c>
    </row>
    <row r="27" ht="15.75" customHeight="1">
      <c r="A27" s="16">
        <v>24.0</v>
      </c>
      <c r="B27" s="23">
        <v>0.0</v>
      </c>
      <c r="C27" s="23"/>
      <c r="D27" s="23">
        <v>1.0</v>
      </c>
      <c r="E27" s="16"/>
      <c r="F27" s="23">
        <v>1.0</v>
      </c>
      <c r="G27" s="16"/>
      <c r="H27" s="23">
        <v>1.0</v>
      </c>
      <c r="I27" s="16"/>
      <c r="J27" s="42">
        <v>18.0</v>
      </c>
      <c r="M27" s="16">
        <v>24.0</v>
      </c>
      <c r="N27" s="23">
        <v>3.0</v>
      </c>
      <c r="O27" s="23">
        <v>1.0</v>
      </c>
      <c r="P27" s="23">
        <v>0.0</v>
      </c>
      <c r="Q27" s="16"/>
      <c r="R27" s="23">
        <v>0.0</v>
      </c>
      <c r="S27" s="16"/>
      <c r="T27" s="23">
        <v>0.0</v>
      </c>
      <c r="U27" s="16"/>
      <c r="V27" s="42">
        <v>10.0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42">
        <v>8.0</v>
      </c>
    </row>
    <row r="28" ht="15.75" customHeight="1">
      <c r="A28" s="16">
        <v>25.0</v>
      </c>
      <c r="B28" s="23">
        <v>0.0</v>
      </c>
      <c r="C28" s="23">
        <v>1.0</v>
      </c>
      <c r="D28" s="23">
        <v>0.0</v>
      </c>
      <c r="E28" s="16"/>
      <c r="F28" s="23">
        <v>1.0</v>
      </c>
      <c r="G28" s="16"/>
      <c r="H28" s="23">
        <v>1.0</v>
      </c>
      <c r="I28" s="16"/>
      <c r="J28" s="42">
        <v>19.0</v>
      </c>
      <c r="M28" s="16">
        <v>25.0</v>
      </c>
      <c r="N28" s="23">
        <v>4.0</v>
      </c>
      <c r="O28" s="16"/>
      <c r="P28" s="23">
        <v>0.0</v>
      </c>
      <c r="Q28" s="16"/>
      <c r="R28" s="23">
        <v>0.0</v>
      </c>
      <c r="S28" s="16"/>
      <c r="T28" s="23">
        <v>0.0</v>
      </c>
      <c r="U28" s="16"/>
      <c r="V28" s="42">
        <v>9.0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42">
        <v>7.0</v>
      </c>
    </row>
    <row r="29" ht="15.75" customHeight="1">
      <c r="A29" s="16">
        <v>26.0</v>
      </c>
      <c r="B29" s="23">
        <v>1.0</v>
      </c>
      <c r="C29" s="16"/>
      <c r="D29" s="23">
        <v>0.0</v>
      </c>
      <c r="E29" s="16"/>
      <c r="F29" s="23">
        <v>1.0</v>
      </c>
      <c r="G29" s="16"/>
      <c r="H29" s="23">
        <v>1.0</v>
      </c>
      <c r="I29" s="16"/>
      <c r="J29" s="40">
        <v>22.0</v>
      </c>
      <c r="M29" s="16">
        <v>26.0</v>
      </c>
      <c r="N29" s="23">
        <v>4.0</v>
      </c>
      <c r="O29" s="16"/>
      <c r="P29" s="23">
        <v>0.0</v>
      </c>
      <c r="Q29" s="16"/>
      <c r="R29" s="23">
        <v>0.0</v>
      </c>
      <c r="S29" s="16"/>
      <c r="T29" s="23">
        <v>0.0</v>
      </c>
      <c r="U29" s="16"/>
      <c r="V29" s="40">
        <v>11.0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40">
        <v>6.0</v>
      </c>
    </row>
    <row r="30" ht="15.75" customHeight="1">
      <c r="A30" s="16">
        <v>27.0</v>
      </c>
      <c r="B30" s="23">
        <v>1.0</v>
      </c>
      <c r="C30" s="16"/>
      <c r="D30" s="23">
        <v>0.0</v>
      </c>
      <c r="E30" s="16"/>
      <c r="F30" s="23">
        <v>1.0</v>
      </c>
      <c r="G30" s="16"/>
      <c r="H30" s="23">
        <v>1.0</v>
      </c>
      <c r="I30" s="16"/>
      <c r="J30" s="40">
        <v>20.0</v>
      </c>
      <c r="M30" s="16">
        <v>27.0</v>
      </c>
      <c r="N30" s="23">
        <v>4.0</v>
      </c>
      <c r="O30" s="23">
        <v>2.0</v>
      </c>
      <c r="P30" s="23">
        <v>0.0</v>
      </c>
      <c r="Q30" s="16"/>
      <c r="R30" s="23">
        <v>0.0</v>
      </c>
      <c r="S30" s="16"/>
      <c r="T30" s="23">
        <v>0.0</v>
      </c>
      <c r="U30" s="16"/>
      <c r="V30" s="40">
        <v>13.0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40">
        <v>6.0</v>
      </c>
    </row>
    <row r="31" ht="15.75" customHeight="1">
      <c r="A31" s="16">
        <v>28.0</v>
      </c>
      <c r="B31" s="23">
        <v>1.0</v>
      </c>
      <c r="C31" s="23">
        <v>2.0</v>
      </c>
      <c r="D31" s="23">
        <v>0.0</v>
      </c>
      <c r="E31" s="16"/>
      <c r="F31" s="23">
        <v>1.0</v>
      </c>
      <c r="G31" s="16"/>
      <c r="H31" s="23">
        <v>1.0</v>
      </c>
      <c r="I31" s="16"/>
      <c r="J31" s="42">
        <v>17.0</v>
      </c>
      <c r="M31" s="16">
        <v>28.0</v>
      </c>
      <c r="N31" s="23">
        <v>5.0</v>
      </c>
      <c r="O31" s="23"/>
      <c r="P31" s="23">
        <v>0.0</v>
      </c>
      <c r="Q31" s="16"/>
      <c r="R31" s="23">
        <v>0.0</v>
      </c>
      <c r="S31" s="23">
        <v>1.0</v>
      </c>
      <c r="T31" s="23">
        <v>0.0</v>
      </c>
      <c r="U31" s="16"/>
      <c r="V31" s="42">
        <v>10.0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42">
        <v>7.0</v>
      </c>
    </row>
    <row r="32" ht="15.75" customHeight="1">
      <c r="A32" s="16">
        <v>29.0</v>
      </c>
      <c r="B32" s="23">
        <v>2.0</v>
      </c>
      <c r="C32" s="23">
        <v>1.0</v>
      </c>
      <c r="D32" s="23">
        <v>0.0</v>
      </c>
      <c r="E32" s="16"/>
      <c r="F32" s="23">
        <v>1.0</v>
      </c>
      <c r="G32" s="16"/>
      <c r="H32" s="23">
        <v>0.0</v>
      </c>
      <c r="I32" s="16"/>
      <c r="J32" s="42">
        <v>19.0</v>
      </c>
      <c r="M32" s="16">
        <v>29.0</v>
      </c>
      <c r="N32" s="23">
        <v>5.0</v>
      </c>
      <c r="O32" s="16"/>
      <c r="P32" s="23">
        <v>0.0</v>
      </c>
      <c r="Q32" s="16"/>
      <c r="R32" s="23">
        <v>1.0</v>
      </c>
      <c r="S32" s="16"/>
      <c r="T32" s="23">
        <v>0.0</v>
      </c>
      <c r="U32" s="16"/>
      <c r="V32" s="42">
        <v>9.0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42">
        <v>9.0</v>
      </c>
    </row>
    <row r="33" ht="15.75" customHeight="1">
      <c r="A33" s="16">
        <v>30.0</v>
      </c>
      <c r="B33" s="23">
        <v>2.0</v>
      </c>
      <c r="C33" s="16"/>
      <c r="D33" s="23">
        <v>0.0</v>
      </c>
      <c r="E33" s="23">
        <v>1.0</v>
      </c>
      <c r="F33" s="23">
        <v>1.0</v>
      </c>
      <c r="G33" s="16"/>
      <c r="H33" s="23">
        <v>0.0</v>
      </c>
      <c r="I33" s="16"/>
      <c r="J33" s="42">
        <v>18.0</v>
      </c>
      <c r="M33" s="16">
        <v>30.0</v>
      </c>
      <c r="N33" s="23">
        <v>5.0</v>
      </c>
      <c r="O33" s="16"/>
      <c r="P33" s="23">
        <v>0.0</v>
      </c>
      <c r="Q33" s="16"/>
      <c r="R33" s="23">
        <v>1.0</v>
      </c>
      <c r="S33" s="16"/>
      <c r="T33" s="23">
        <v>0.0</v>
      </c>
      <c r="U33" s="16"/>
      <c r="V33" s="42">
        <v>10.0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42">
        <v>10.0</v>
      </c>
    </row>
    <row r="34" ht="15.75" customHeight="1">
      <c r="A34" s="16">
        <v>31.0</v>
      </c>
      <c r="B34" s="27">
        <v>2.0</v>
      </c>
      <c r="C34" s="10"/>
      <c r="D34" s="27">
        <v>1.0</v>
      </c>
      <c r="E34" s="10"/>
      <c r="F34" s="27">
        <v>1.0</v>
      </c>
      <c r="G34" s="10"/>
      <c r="H34" s="27">
        <v>0.0</v>
      </c>
      <c r="I34" s="10"/>
      <c r="J34" s="42">
        <v>18.0</v>
      </c>
      <c r="M34" s="16">
        <v>31.0</v>
      </c>
      <c r="N34" s="27">
        <v>5.0</v>
      </c>
      <c r="O34" s="10"/>
      <c r="P34" s="27">
        <v>0.0</v>
      </c>
      <c r="Q34" s="10"/>
      <c r="R34" s="27">
        <v>1.0</v>
      </c>
      <c r="S34" s="10"/>
      <c r="T34" s="27">
        <v>0.0</v>
      </c>
      <c r="U34" s="10"/>
      <c r="V34" s="42">
        <v>9.0</v>
      </c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42">
        <v>7.0</v>
      </c>
    </row>
    <row r="35" ht="15.75" customHeight="1">
      <c r="A35" s="28" t="s">
        <v>11</v>
      </c>
      <c r="B35" s="28">
        <f t="shared" ref="B35:J35" si="1">SUM(B4:B34)</f>
        <v>59</v>
      </c>
      <c r="C35" s="28">
        <f t="shared" si="1"/>
        <v>11</v>
      </c>
      <c r="D35" s="28">
        <f t="shared" si="1"/>
        <v>11</v>
      </c>
      <c r="E35" s="28">
        <f t="shared" si="1"/>
        <v>2</v>
      </c>
      <c r="F35" s="28">
        <f t="shared" si="1"/>
        <v>17</v>
      </c>
      <c r="G35" s="28">
        <f t="shared" si="1"/>
        <v>1</v>
      </c>
      <c r="H35" s="28">
        <f t="shared" si="1"/>
        <v>27</v>
      </c>
      <c r="I35" s="28">
        <f t="shared" si="1"/>
        <v>1</v>
      </c>
      <c r="J35" s="28">
        <f t="shared" si="1"/>
        <v>561</v>
      </c>
      <c r="M35" s="28" t="s">
        <v>11</v>
      </c>
      <c r="N35" s="28">
        <f t="shared" ref="N35:V35" si="2">SUM(N4:N34)</f>
        <v>48</v>
      </c>
      <c r="O35" s="28">
        <f t="shared" si="2"/>
        <v>7</v>
      </c>
      <c r="P35" s="28">
        <f t="shared" si="2"/>
        <v>0</v>
      </c>
      <c r="Q35" s="28">
        <f t="shared" si="2"/>
        <v>0</v>
      </c>
      <c r="R35" s="28">
        <f t="shared" si="2"/>
        <v>3</v>
      </c>
      <c r="S35" s="28">
        <f t="shared" si="2"/>
        <v>1</v>
      </c>
      <c r="T35" s="28">
        <f t="shared" si="2"/>
        <v>6</v>
      </c>
      <c r="U35" s="28">
        <f t="shared" si="2"/>
        <v>0</v>
      </c>
      <c r="V35" s="28">
        <f t="shared" si="2"/>
        <v>296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292</v>
      </c>
    </row>
    <row r="36" ht="15.75" customHeight="1">
      <c r="A36" s="29" t="s">
        <v>12</v>
      </c>
      <c r="B36" s="28">
        <f t="shared" ref="B36:I36" si="4">(B35/$J$35)*1000</f>
        <v>105.1693405</v>
      </c>
      <c r="C36" s="28">
        <f t="shared" si="4"/>
        <v>19.60784314</v>
      </c>
      <c r="D36" s="28">
        <f t="shared" si="4"/>
        <v>19.60784314</v>
      </c>
      <c r="E36" s="28">
        <f t="shared" si="4"/>
        <v>3.565062389</v>
      </c>
      <c r="F36" s="28">
        <f t="shared" si="4"/>
        <v>30.3030303</v>
      </c>
      <c r="G36" s="28">
        <f t="shared" si="4"/>
        <v>1.782531194</v>
      </c>
      <c r="H36" s="28">
        <f t="shared" si="4"/>
        <v>48.12834225</v>
      </c>
      <c r="I36" s="28">
        <f t="shared" si="4"/>
        <v>1.782531194</v>
      </c>
      <c r="J36" s="28">
        <f>(J35/$J$35)*100</f>
        <v>100</v>
      </c>
      <c r="M36" s="29" t="s">
        <v>12</v>
      </c>
      <c r="N36" s="28">
        <f t="shared" ref="N36:U36" si="5">(N35/$V$35)*100</f>
        <v>16.21621622</v>
      </c>
      <c r="O36" s="28">
        <f t="shared" si="5"/>
        <v>2.364864865</v>
      </c>
      <c r="P36" s="28">
        <f t="shared" si="5"/>
        <v>0</v>
      </c>
      <c r="Q36" s="28">
        <f t="shared" si="5"/>
        <v>0</v>
      </c>
      <c r="R36" s="28">
        <f t="shared" si="5"/>
        <v>1.013513514</v>
      </c>
      <c r="S36" s="28">
        <f t="shared" si="5"/>
        <v>0.3378378378</v>
      </c>
      <c r="T36" s="28">
        <f t="shared" si="5"/>
        <v>2.027027027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42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42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42"/>
    </row>
    <row r="4" ht="15.75" customHeight="1">
      <c r="A4" s="16">
        <v>1.0</v>
      </c>
      <c r="B4" s="23">
        <v>2.0</v>
      </c>
      <c r="C4" s="16"/>
      <c r="D4" s="23">
        <v>1.0</v>
      </c>
      <c r="E4" s="16"/>
      <c r="F4" s="23">
        <v>1.0</v>
      </c>
      <c r="G4" s="16"/>
      <c r="H4" s="23">
        <v>0.0</v>
      </c>
      <c r="I4" s="16"/>
      <c r="J4" s="43">
        <v>17.0</v>
      </c>
      <c r="M4" s="16">
        <v>1.0</v>
      </c>
      <c r="N4" s="23">
        <v>4.0</v>
      </c>
      <c r="O4" s="16"/>
      <c r="P4" s="23">
        <v>0.0</v>
      </c>
      <c r="Q4" s="16"/>
      <c r="R4" s="23">
        <v>1.0</v>
      </c>
      <c r="S4" s="16"/>
      <c r="T4" s="23">
        <v>0.0</v>
      </c>
      <c r="U4" s="16"/>
      <c r="V4" s="43">
        <v>10.0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43">
        <v>6.0</v>
      </c>
    </row>
    <row r="5" ht="15.75" customHeight="1">
      <c r="A5" s="16">
        <v>2.0</v>
      </c>
      <c r="B5" s="23">
        <v>2.0</v>
      </c>
      <c r="C5" s="16"/>
      <c r="D5" s="23">
        <v>1.0</v>
      </c>
      <c r="E5" s="23">
        <v>1.0</v>
      </c>
      <c r="F5" s="23">
        <v>1.0</v>
      </c>
      <c r="G5" s="16"/>
      <c r="H5" s="23">
        <v>0.0</v>
      </c>
      <c r="I5" s="16"/>
      <c r="J5" s="43">
        <v>21.0</v>
      </c>
      <c r="M5" s="16">
        <v>2.0</v>
      </c>
      <c r="N5" s="23">
        <v>4.0</v>
      </c>
      <c r="O5" s="16"/>
      <c r="P5" s="23">
        <v>0.0</v>
      </c>
      <c r="Q5" s="16"/>
      <c r="R5" s="23">
        <v>1.0</v>
      </c>
      <c r="S5" s="16"/>
      <c r="T5" s="23">
        <v>0.0</v>
      </c>
      <c r="U5" s="16"/>
      <c r="V5" s="43">
        <v>12.0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43">
        <v>6.0</v>
      </c>
    </row>
    <row r="6" ht="15.75" customHeight="1">
      <c r="A6" s="16">
        <v>3.0</v>
      </c>
      <c r="B6" s="23">
        <v>1.0</v>
      </c>
      <c r="C6" s="23">
        <v>1.0</v>
      </c>
      <c r="D6" s="23">
        <v>1.0</v>
      </c>
      <c r="E6" s="16"/>
      <c r="F6" s="23">
        <v>1.0</v>
      </c>
      <c r="G6" s="16"/>
      <c r="H6" s="23">
        <v>0.0</v>
      </c>
      <c r="I6" s="16"/>
      <c r="J6" s="45">
        <v>19.0</v>
      </c>
      <c r="M6" s="16">
        <v>3.0</v>
      </c>
      <c r="N6" s="23">
        <v>4.0</v>
      </c>
      <c r="O6" s="16"/>
      <c r="P6" s="23">
        <v>0.0</v>
      </c>
      <c r="Q6" s="16"/>
      <c r="R6" s="23">
        <v>1.0</v>
      </c>
      <c r="S6" s="23">
        <v>1.0</v>
      </c>
      <c r="T6" s="23">
        <v>0.0</v>
      </c>
      <c r="U6" s="16"/>
      <c r="V6" s="45">
        <v>11.0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45">
        <v>9.0</v>
      </c>
    </row>
    <row r="7" ht="15.75" customHeight="1">
      <c r="A7" s="16">
        <v>4.0</v>
      </c>
      <c r="B7" s="23">
        <v>2.0</v>
      </c>
      <c r="C7" s="16"/>
      <c r="D7" s="23">
        <v>1.0</v>
      </c>
      <c r="E7" s="16"/>
      <c r="F7" s="23">
        <v>1.0</v>
      </c>
      <c r="G7" s="16"/>
      <c r="H7" s="23">
        <v>0.0</v>
      </c>
      <c r="I7" s="16"/>
      <c r="J7" s="42">
        <v>18.0</v>
      </c>
      <c r="M7" s="16">
        <v>4.0</v>
      </c>
      <c r="N7" s="23">
        <v>3.0</v>
      </c>
      <c r="O7" s="16"/>
      <c r="P7" s="23">
        <v>0.0</v>
      </c>
      <c r="Q7" s="16"/>
      <c r="R7" s="23">
        <v>2.0</v>
      </c>
      <c r="S7" s="16"/>
      <c r="T7" s="23">
        <v>0.0</v>
      </c>
      <c r="U7" s="16"/>
      <c r="V7" s="42">
        <v>8.0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42">
        <v>9.0</v>
      </c>
    </row>
    <row r="8" ht="15.75" customHeight="1">
      <c r="A8" s="16">
        <v>5.0</v>
      </c>
      <c r="B8" s="23">
        <v>2.0</v>
      </c>
      <c r="C8" s="16"/>
      <c r="D8" s="23">
        <v>1.0</v>
      </c>
      <c r="E8" s="16"/>
      <c r="F8" s="23">
        <v>1.0</v>
      </c>
      <c r="G8" s="16"/>
      <c r="H8" s="23">
        <v>0.0</v>
      </c>
      <c r="I8" s="16"/>
      <c r="J8" s="42">
        <v>18.0</v>
      </c>
      <c r="M8" s="16">
        <v>5.0</v>
      </c>
      <c r="N8" s="23">
        <v>3.0</v>
      </c>
      <c r="O8" s="16"/>
      <c r="P8" s="23">
        <v>0.0</v>
      </c>
      <c r="Q8" s="23">
        <v>1.0</v>
      </c>
      <c r="R8" s="23">
        <v>2.0</v>
      </c>
      <c r="S8" s="16"/>
      <c r="T8" s="23">
        <v>0.0</v>
      </c>
      <c r="U8" s="16"/>
      <c r="V8" s="42">
        <v>9.0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42">
        <v>8.0</v>
      </c>
    </row>
    <row r="9" ht="15.75" customHeight="1">
      <c r="A9" s="16">
        <v>6.0</v>
      </c>
      <c r="B9" s="23">
        <v>2.0</v>
      </c>
      <c r="C9" s="16"/>
      <c r="D9" s="23">
        <v>1.0</v>
      </c>
      <c r="E9" s="16"/>
      <c r="F9" s="23">
        <v>1.0</v>
      </c>
      <c r="G9" s="16"/>
      <c r="H9" s="23">
        <v>0.0</v>
      </c>
      <c r="I9" s="16"/>
      <c r="J9" s="42">
        <v>19.0</v>
      </c>
      <c r="M9" s="16">
        <v>6.0</v>
      </c>
      <c r="N9" s="23">
        <v>3.0</v>
      </c>
      <c r="O9" s="16"/>
      <c r="P9" s="23">
        <v>1.0</v>
      </c>
      <c r="Q9" s="16"/>
      <c r="R9" s="23">
        <v>2.0</v>
      </c>
      <c r="S9" s="16"/>
      <c r="T9" s="23">
        <v>0.0</v>
      </c>
      <c r="U9" s="16"/>
      <c r="V9" s="42">
        <v>9.0</v>
      </c>
      <c r="Y9" s="16">
        <v>6.0</v>
      </c>
      <c r="Z9" s="16"/>
      <c r="AA9" s="16"/>
      <c r="AB9" s="16"/>
      <c r="AC9" s="16"/>
      <c r="AD9" s="16"/>
      <c r="AE9" s="16"/>
      <c r="AF9" s="16"/>
      <c r="AG9" s="16"/>
      <c r="AH9" s="42">
        <v>11.0</v>
      </c>
    </row>
    <row r="10" ht="15.75" customHeight="1">
      <c r="A10" s="16">
        <v>7.0</v>
      </c>
      <c r="B10" s="23">
        <v>2.0</v>
      </c>
      <c r="C10" s="16"/>
      <c r="D10" s="23">
        <v>1.0</v>
      </c>
      <c r="E10" s="16"/>
      <c r="F10" s="23">
        <v>1.0</v>
      </c>
      <c r="G10" s="16"/>
      <c r="H10" s="23">
        <v>0.0</v>
      </c>
      <c r="I10" s="16"/>
      <c r="J10" s="42">
        <v>20.0</v>
      </c>
      <c r="M10" s="16">
        <v>7.0</v>
      </c>
      <c r="N10" s="23">
        <v>2.0</v>
      </c>
      <c r="O10" s="16"/>
      <c r="P10" s="23">
        <v>1.0</v>
      </c>
      <c r="Q10" s="16"/>
      <c r="R10" s="23">
        <v>2.0</v>
      </c>
      <c r="S10" s="16"/>
      <c r="T10" s="23">
        <v>0.0</v>
      </c>
      <c r="U10" s="16"/>
      <c r="V10" s="42">
        <v>9.0</v>
      </c>
      <c r="Y10" s="16">
        <v>7.0</v>
      </c>
      <c r="Z10" s="16"/>
      <c r="AA10" s="16"/>
      <c r="AB10" s="16"/>
      <c r="AC10" s="16"/>
      <c r="AD10" s="16"/>
      <c r="AE10" s="16"/>
      <c r="AF10" s="16"/>
      <c r="AG10" s="16"/>
      <c r="AH10" s="42">
        <v>11.0</v>
      </c>
    </row>
    <row r="11" ht="15.75" customHeight="1">
      <c r="A11" s="16">
        <v>8.0</v>
      </c>
      <c r="B11" s="23">
        <v>2.0</v>
      </c>
      <c r="C11" s="16"/>
      <c r="D11" s="23">
        <v>1.0</v>
      </c>
      <c r="E11" s="16"/>
      <c r="F11" s="23">
        <v>0.0</v>
      </c>
      <c r="G11" s="16"/>
      <c r="H11" s="23">
        <v>0.0</v>
      </c>
      <c r="I11" s="16"/>
      <c r="J11" s="42">
        <v>20.0</v>
      </c>
      <c r="M11" s="16">
        <v>8.0</v>
      </c>
      <c r="N11" s="23">
        <v>1.0</v>
      </c>
      <c r="O11" s="16"/>
      <c r="P11" s="23">
        <v>1.0</v>
      </c>
      <c r="Q11" s="16"/>
      <c r="R11" s="23">
        <v>2.0</v>
      </c>
      <c r="S11" s="16"/>
      <c r="T11" s="23">
        <v>0.0</v>
      </c>
      <c r="U11" s="16"/>
      <c r="V11" s="42">
        <v>9.0</v>
      </c>
      <c r="Y11" s="16">
        <v>8.0</v>
      </c>
      <c r="Z11" s="16"/>
      <c r="AA11" s="16"/>
      <c r="AB11" s="16"/>
      <c r="AC11" s="16"/>
      <c r="AD11" s="16"/>
      <c r="AE11" s="16"/>
      <c r="AF11" s="16"/>
      <c r="AG11" s="16"/>
      <c r="AH11" s="42">
        <v>11.0</v>
      </c>
    </row>
    <row r="12" ht="15.75" customHeight="1">
      <c r="A12" s="16">
        <v>9.0</v>
      </c>
      <c r="B12" s="23">
        <v>2.0</v>
      </c>
      <c r="C12" s="16"/>
      <c r="D12" s="23">
        <v>1.0</v>
      </c>
      <c r="E12" s="16"/>
      <c r="F12" s="23">
        <v>0.0</v>
      </c>
      <c r="G12" s="16"/>
      <c r="H12" s="23">
        <v>0.0</v>
      </c>
      <c r="I12" s="16"/>
      <c r="J12" s="43">
        <v>20.0</v>
      </c>
      <c r="M12" s="16">
        <v>9.0</v>
      </c>
      <c r="N12" s="23">
        <v>1.0</v>
      </c>
      <c r="O12" s="16"/>
      <c r="P12" s="23">
        <v>1.0</v>
      </c>
      <c r="Q12" s="16"/>
      <c r="R12" s="23">
        <v>2.0</v>
      </c>
      <c r="S12" s="16"/>
      <c r="T12" s="23">
        <v>0.0</v>
      </c>
      <c r="U12" s="16"/>
      <c r="V12" s="43">
        <v>10.0</v>
      </c>
      <c r="Y12" s="16">
        <v>9.0</v>
      </c>
      <c r="Z12" s="16"/>
      <c r="AA12" s="16"/>
      <c r="AB12" s="16"/>
      <c r="AC12" s="16"/>
      <c r="AD12" s="16"/>
      <c r="AE12" s="16"/>
      <c r="AF12" s="16"/>
      <c r="AG12" s="16"/>
      <c r="AH12" s="43">
        <v>13.0</v>
      </c>
    </row>
    <row r="13" ht="15.75" customHeight="1">
      <c r="A13" s="16">
        <v>10.0</v>
      </c>
      <c r="B13" s="23">
        <v>1.0</v>
      </c>
      <c r="C13" s="23"/>
      <c r="D13" s="23">
        <v>1.0</v>
      </c>
      <c r="E13" s="23"/>
      <c r="F13" s="23">
        <v>0.0</v>
      </c>
      <c r="G13" s="16"/>
      <c r="H13" s="23">
        <v>0.0</v>
      </c>
      <c r="I13" s="16"/>
      <c r="J13" s="43">
        <v>21.0</v>
      </c>
      <c r="M13" s="16">
        <v>10.0</v>
      </c>
      <c r="N13" s="23">
        <v>1.0</v>
      </c>
      <c r="O13" s="16"/>
      <c r="P13" s="23">
        <v>1.0</v>
      </c>
      <c r="Q13" s="16"/>
      <c r="R13" s="23">
        <v>2.0</v>
      </c>
      <c r="S13" s="23">
        <v>3.0</v>
      </c>
      <c r="T13" s="23">
        <v>0.0</v>
      </c>
      <c r="U13" s="16"/>
      <c r="V13" s="43">
        <v>10.0</v>
      </c>
      <c r="Y13" s="16">
        <v>10.0</v>
      </c>
      <c r="Z13" s="16"/>
      <c r="AA13" s="16"/>
      <c r="AB13" s="16"/>
      <c r="AC13" s="16"/>
      <c r="AD13" s="16"/>
      <c r="AE13" s="16"/>
      <c r="AF13" s="16"/>
      <c r="AG13" s="16"/>
      <c r="AH13" s="43">
        <v>10.0</v>
      </c>
    </row>
    <row r="14" ht="15.75" customHeight="1">
      <c r="A14" s="16">
        <v>11.0</v>
      </c>
      <c r="B14" s="23">
        <v>1.0</v>
      </c>
      <c r="C14" s="23">
        <v>1.0</v>
      </c>
      <c r="D14" s="23">
        <v>1.0</v>
      </c>
      <c r="E14" s="23">
        <v>1.0</v>
      </c>
      <c r="F14" s="23">
        <v>0.0</v>
      </c>
      <c r="G14" s="16"/>
      <c r="H14" s="23">
        <v>0.0</v>
      </c>
      <c r="I14" s="16"/>
      <c r="J14" s="42">
        <v>20.0</v>
      </c>
      <c r="M14" s="16">
        <v>11.0</v>
      </c>
      <c r="N14" s="23">
        <v>1.0</v>
      </c>
      <c r="O14" s="16"/>
      <c r="P14" s="23">
        <v>1.0</v>
      </c>
      <c r="Q14" s="16"/>
      <c r="R14" s="23">
        <v>5.0</v>
      </c>
      <c r="S14" s="16"/>
      <c r="T14" s="23">
        <v>0.0</v>
      </c>
      <c r="U14" s="16"/>
      <c r="V14" s="42">
        <v>9.0</v>
      </c>
      <c r="Y14" s="16">
        <v>11.0</v>
      </c>
      <c r="Z14" s="16"/>
      <c r="AA14" s="16"/>
      <c r="AB14" s="16"/>
      <c r="AC14" s="16"/>
      <c r="AD14" s="16"/>
      <c r="AE14" s="16"/>
      <c r="AF14" s="16"/>
      <c r="AG14" s="16"/>
      <c r="AH14" s="42">
        <v>11.0</v>
      </c>
    </row>
    <row r="15" ht="15.75" customHeight="1">
      <c r="A15" s="16">
        <v>12.0</v>
      </c>
      <c r="B15" s="23">
        <v>2.0</v>
      </c>
      <c r="C15" s="16"/>
      <c r="D15" s="23">
        <v>2.0</v>
      </c>
      <c r="E15" s="16"/>
      <c r="F15" s="23">
        <v>0.0</v>
      </c>
      <c r="G15" s="16"/>
      <c r="H15" s="23">
        <v>0.0</v>
      </c>
      <c r="I15" s="16"/>
      <c r="J15" s="42">
        <v>18.0</v>
      </c>
      <c r="M15" s="16">
        <v>12.0</v>
      </c>
      <c r="N15" s="23">
        <v>0.0</v>
      </c>
      <c r="O15" s="16"/>
      <c r="P15" s="23">
        <v>0.0</v>
      </c>
      <c r="Q15" s="16"/>
      <c r="R15" s="23">
        <v>3.0</v>
      </c>
      <c r="S15" s="16"/>
      <c r="T15" s="23">
        <v>0.0</v>
      </c>
      <c r="U15" s="16"/>
      <c r="V15" s="42">
        <v>10.0</v>
      </c>
      <c r="Y15" s="16">
        <v>12.0</v>
      </c>
      <c r="Z15" s="16"/>
      <c r="AA15" s="16"/>
      <c r="AB15" s="16"/>
      <c r="AC15" s="16"/>
      <c r="AD15" s="16"/>
      <c r="AE15" s="16"/>
      <c r="AF15" s="16"/>
      <c r="AG15" s="16"/>
      <c r="AH15" s="42">
        <v>10.0</v>
      </c>
    </row>
    <row r="16" ht="15.75" customHeight="1">
      <c r="A16" s="16">
        <v>13.0</v>
      </c>
      <c r="B16" s="23">
        <v>2.0</v>
      </c>
      <c r="C16" s="16"/>
      <c r="D16" s="23">
        <v>2.0</v>
      </c>
      <c r="E16" s="16"/>
      <c r="F16" s="23">
        <v>0.0</v>
      </c>
      <c r="G16" s="16"/>
      <c r="H16" s="23">
        <v>0.0</v>
      </c>
      <c r="I16" s="16"/>
      <c r="J16" s="42">
        <v>17.0</v>
      </c>
      <c r="M16" s="16">
        <v>13.0</v>
      </c>
      <c r="N16" s="23">
        <v>0.0</v>
      </c>
      <c r="O16" s="16"/>
      <c r="P16" s="23">
        <v>0.0</v>
      </c>
      <c r="Q16" s="23">
        <v>1.0</v>
      </c>
      <c r="R16" s="23">
        <v>3.0</v>
      </c>
      <c r="S16" s="16"/>
      <c r="T16" s="23">
        <v>0.0</v>
      </c>
      <c r="U16" s="16"/>
      <c r="V16" s="42">
        <v>8.0</v>
      </c>
      <c r="Y16" s="16">
        <v>13.0</v>
      </c>
      <c r="Z16" s="16"/>
      <c r="AA16" s="16"/>
      <c r="AB16" s="16"/>
      <c r="AC16" s="16"/>
      <c r="AD16" s="16"/>
      <c r="AE16" s="16"/>
      <c r="AF16" s="16"/>
      <c r="AG16" s="16"/>
      <c r="AH16" s="42">
        <v>8.0</v>
      </c>
    </row>
    <row r="17" ht="15.75" customHeight="1">
      <c r="A17" s="16">
        <v>14.0</v>
      </c>
      <c r="B17" s="23">
        <v>2.0</v>
      </c>
      <c r="C17" s="16"/>
      <c r="D17" s="23">
        <v>2.0</v>
      </c>
      <c r="E17" s="16"/>
      <c r="F17" s="23">
        <v>0.0</v>
      </c>
      <c r="G17" s="16"/>
      <c r="H17" s="23">
        <v>0.0</v>
      </c>
      <c r="I17" s="16"/>
      <c r="J17" s="42">
        <v>17.0</v>
      </c>
      <c r="M17" s="16">
        <v>14.0</v>
      </c>
      <c r="N17" s="23">
        <v>0.0</v>
      </c>
      <c r="O17" s="16"/>
      <c r="P17" s="23">
        <v>1.0</v>
      </c>
      <c r="Q17" s="16"/>
      <c r="R17" s="23">
        <v>2.0</v>
      </c>
      <c r="S17" s="16"/>
      <c r="T17" s="23">
        <v>0.0</v>
      </c>
      <c r="U17" s="16"/>
      <c r="V17" s="42">
        <v>6.0</v>
      </c>
      <c r="Y17" s="16">
        <v>14.0</v>
      </c>
      <c r="Z17" s="16"/>
      <c r="AA17" s="16"/>
      <c r="AB17" s="16"/>
      <c r="AC17" s="16"/>
      <c r="AD17" s="16"/>
      <c r="AE17" s="16"/>
      <c r="AF17" s="16"/>
      <c r="AG17" s="16"/>
      <c r="AH17" s="42">
        <v>9.0</v>
      </c>
    </row>
    <row r="18" ht="15.75" customHeight="1">
      <c r="A18" s="16">
        <v>15.0</v>
      </c>
      <c r="B18" s="23">
        <v>2.0</v>
      </c>
      <c r="C18" s="16"/>
      <c r="D18" s="23">
        <v>2.0</v>
      </c>
      <c r="E18" s="16"/>
      <c r="F18" s="23">
        <v>0.0</v>
      </c>
      <c r="G18" s="16"/>
      <c r="H18" s="23">
        <v>0.0</v>
      </c>
      <c r="I18" s="16"/>
      <c r="J18" s="42">
        <v>16.0</v>
      </c>
      <c r="M18" s="16">
        <v>15.0</v>
      </c>
      <c r="N18" s="23">
        <v>0.0</v>
      </c>
      <c r="O18" s="16"/>
      <c r="P18" s="23">
        <v>0.0</v>
      </c>
      <c r="Q18" s="16"/>
      <c r="R18" s="23">
        <v>2.0</v>
      </c>
      <c r="S18" s="16"/>
      <c r="T18" s="23">
        <v>0.0</v>
      </c>
      <c r="U18" s="16"/>
      <c r="V18" s="42">
        <v>7.0</v>
      </c>
      <c r="Y18" s="16">
        <v>15.0</v>
      </c>
      <c r="Z18" s="16"/>
      <c r="AA18" s="16"/>
      <c r="AB18" s="16"/>
      <c r="AC18" s="16"/>
      <c r="AD18" s="16"/>
      <c r="AE18" s="16"/>
      <c r="AF18" s="16"/>
      <c r="AG18" s="16"/>
      <c r="AH18" s="42">
        <v>8.0</v>
      </c>
    </row>
    <row r="19" ht="15.75" customHeight="1">
      <c r="A19" s="16">
        <v>16.0</v>
      </c>
      <c r="B19" s="23">
        <v>2.0</v>
      </c>
      <c r="C19" s="16"/>
      <c r="D19" s="23">
        <v>2.0</v>
      </c>
      <c r="E19" s="16"/>
      <c r="F19" s="23">
        <v>0.0</v>
      </c>
      <c r="G19" s="16"/>
      <c r="H19" s="23">
        <v>0.0</v>
      </c>
      <c r="I19" s="16"/>
      <c r="J19" s="43">
        <v>19.0</v>
      </c>
      <c r="M19" s="16">
        <v>16.0</v>
      </c>
      <c r="N19" s="23">
        <v>0.0</v>
      </c>
      <c r="O19" s="16"/>
      <c r="P19" s="23">
        <v>0.0</v>
      </c>
      <c r="Q19" s="16"/>
      <c r="R19" s="23">
        <v>2.0</v>
      </c>
      <c r="S19" s="16"/>
      <c r="T19" s="23">
        <v>0.0</v>
      </c>
      <c r="U19" s="16"/>
      <c r="V19" s="43">
        <v>10.0</v>
      </c>
      <c r="Y19" s="16">
        <v>16.0</v>
      </c>
      <c r="Z19" s="16"/>
      <c r="AA19" s="16"/>
      <c r="AB19" s="16"/>
      <c r="AC19" s="16"/>
      <c r="AD19" s="16"/>
      <c r="AE19" s="16"/>
      <c r="AF19" s="16"/>
      <c r="AG19" s="16"/>
      <c r="AH19" s="43">
        <v>6.0</v>
      </c>
    </row>
    <row r="20" ht="15.75" customHeight="1">
      <c r="A20" s="16">
        <v>17.0</v>
      </c>
      <c r="B20" s="23">
        <v>2.0</v>
      </c>
      <c r="C20" s="16"/>
      <c r="D20" s="23">
        <v>2.0</v>
      </c>
      <c r="E20" s="23">
        <v>1.0</v>
      </c>
      <c r="F20" s="23">
        <v>0.0</v>
      </c>
      <c r="G20" s="23">
        <v>1.0</v>
      </c>
      <c r="H20" s="23">
        <v>0.0</v>
      </c>
      <c r="I20" s="16"/>
      <c r="J20" s="43">
        <v>21.0</v>
      </c>
      <c r="M20" s="16">
        <v>17.0</v>
      </c>
      <c r="N20" s="23">
        <v>0.0</v>
      </c>
      <c r="O20" s="23">
        <v>1.0</v>
      </c>
      <c r="P20" s="23">
        <v>0.0</v>
      </c>
      <c r="Q20" s="16"/>
      <c r="R20" s="23">
        <v>2.0</v>
      </c>
      <c r="S20" s="16"/>
      <c r="T20" s="23">
        <v>0.0</v>
      </c>
      <c r="U20" s="16"/>
      <c r="V20" s="43">
        <v>9.0</v>
      </c>
      <c r="Y20" s="16">
        <v>17.0</v>
      </c>
      <c r="Z20" s="16"/>
      <c r="AA20" s="16"/>
      <c r="AB20" s="16"/>
      <c r="AC20" s="16"/>
      <c r="AD20" s="16"/>
      <c r="AE20" s="16"/>
      <c r="AF20" s="16"/>
      <c r="AG20" s="16"/>
      <c r="AH20" s="43">
        <v>6.0</v>
      </c>
    </row>
    <row r="21" ht="15.75" customHeight="1">
      <c r="A21" s="16">
        <v>18.0</v>
      </c>
      <c r="B21" s="23">
        <v>2.0</v>
      </c>
      <c r="C21" s="23">
        <v>1.0</v>
      </c>
      <c r="D21" s="23">
        <v>3.0</v>
      </c>
      <c r="E21" s="23"/>
      <c r="F21" s="23">
        <v>1.0</v>
      </c>
      <c r="G21" s="23"/>
      <c r="H21" s="23">
        <v>0.0</v>
      </c>
      <c r="I21" s="16"/>
      <c r="J21" s="42">
        <v>17.0</v>
      </c>
      <c r="M21" s="16">
        <v>18.0</v>
      </c>
      <c r="N21" s="23">
        <v>1.0</v>
      </c>
      <c r="O21" s="16"/>
      <c r="P21" s="23">
        <v>0.0</v>
      </c>
      <c r="Q21" s="23">
        <v>2.0</v>
      </c>
      <c r="R21" s="23">
        <v>2.0</v>
      </c>
      <c r="S21" s="23">
        <v>2.0</v>
      </c>
      <c r="T21" s="23">
        <v>0.0</v>
      </c>
      <c r="U21" s="16"/>
      <c r="V21" s="42">
        <v>9.0</v>
      </c>
      <c r="Y21" s="16">
        <v>18.0</v>
      </c>
      <c r="Z21" s="16"/>
      <c r="AA21" s="16"/>
      <c r="AB21" s="16"/>
      <c r="AC21" s="16"/>
      <c r="AD21" s="16"/>
      <c r="AE21" s="16"/>
      <c r="AF21" s="16"/>
      <c r="AG21" s="16"/>
      <c r="AH21" s="42">
        <v>7.0</v>
      </c>
    </row>
    <row r="22" ht="15.75" customHeight="1">
      <c r="A22" s="16">
        <v>19.0</v>
      </c>
      <c r="B22" s="23">
        <v>2.0</v>
      </c>
      <c r="C22" s="16"/>
      <c r="D22" s="23">
        <v>2.0</v>
      </c>
      <c r="E22" s="16"/>
      <c r="F22" s="23">
        <v>0.0</v>
      </c>
      <c r="G22" s="16"/>
      <c r="H22" s="23">
        <v>0.0</v>
      </c>
      <c r="I22" s="16"/>
      <c r="J22" s="42">
        <v>18.0</v>
      </c>
      <c r="M22" s="16">
        <v>19.0</v>
      </c>
      <c r="N22" s="23">
        <v>1.0</v>
      </c>
      <c r="O22" s="16"/>
      <c r="P22" s="23">
        <v>2.0</v>
      </c>
      <c r="Q22" s="16"/>
      <c r="R22" s="23">
        <v>4.0</v>
      </c>
      <c r="S22" s="16"/>
      <c r="T22" s="23">
        <v>0.0</v>
      </c>
      <c r="U22" s="16"/>
      <c r="V22" s="42">
        <v>10.0</v>
      </c>
      <c r="Y22" s="16">
        <v>19.0</v>
      </c>
      <c r="Z22" s="16"/>
      <c r="AA22" s="16"/>
      <c r="AB22" s="16"/>
      <c r="AC22" s="16"/>
      <c r="AD22" s="16"/>
      <c r="AE22" s="16"/>
      <c r="AF22" s="16"/>
      <c r="AG22" s="16"/>
      <c r="AH22" s="42">
        <v>5.0</v>
      </c>
    </row>
    <row r="23" ht="15.75" customHeight="1">
      <c r="A23" s="16">
        <v>20.0</v>
      </c>
      <c r="B23" s="23">
        <v>1.0</v>
      </c>
      <c r="C23" s="16"/>
      <c r="D23" s="23">
        <v>1.0</v>
      </c>
      <c r="E23" s="16"/>
      <c r="F23" s="23">
        <v>0.0</v>
      </c>
      <c r="G23" s="16"/>
      <c r="H23" s="23">
        <v>0.0</v>
      </c>
      <c r="I23" s="16"/>
      <c r="J23" s="42">
        <v>17.0</v>
      </c>
      <c r="M23" s="16">
        <v>20.0</v>
      </c>
      <c r="N23" s="23">
        <v>1.0</v>
      </c>
      <c r="O23" s="16"/>
      <c r="P23" s="23">
        <v>1.0</v>
      </c>
      <c r="Q23" s="16"/>
      <c r="R23" s="23">
        <v>4.0</v>
      </c>
      <c r="S23" s="16"/>
      <c r="T23" s="23">
        <v>0.0</v>
      </c>
      <c r="U23" s="16"/>
      <c r="V23" s="42">
        <v>9.0</v>
      </c>
      <c r="Y23" s="16">
        <v>20.0</v>
      </c>
      <c r="Z23" s="16"/>
      <c r="AA23" s="16"/>
      <c r="AB23" s="16"/>
      <c r="AC23" s="16"/>
      <c r="AD23" s="16"/>
      <c r="AE23" s="16"/>
      <c r="AF23" s="16"/>
      <c r="AG23" s="16"/>
      <c r="AH23" s="42">
        <v>6.0</v>
      </c>
    </row>
    <row r="24" ht="15.75" customHeight="1">
      <c r="A24" s="16">
        <v>21.0</v>
      </c>
      <c r="B24" s="23">
        <v>1.0</v>
      </c>
      <c r="C24" s="23">
        <v>1.0</v>
      </c>
      <c r="D24" s="23">
        <v>1.0</v>
      </c>
      <c r="E24" s="16"/>
      <c r="F24" s="23">
        <v>0.0</v>
      </c>
      <c r="G24" s="16"/>
      <c r="H24" s="23">
        <v>0.0</v>
      </c>
      <c r="I24" s="16"/>
      <c r="J24" s="42">
        <v>20.0</v>
      </c>
      <c r="M24" s="16">
        <v>21.0</v>
      </c>
      <c r="N24" s="23">
        <v>1.0</v>
      </c>
      <c r="O24" s="16"/>
      <c r="P24" s="23">
        <v>1.0</v>
      </c>
      <c r="Q24" s="16"/>
      <c r="R24" s="23">
        <v>4.0</v>
      </c>
      <c r="S24" s="16"/>
      <c r="T24" s="23">
        <v>0.0</v>
      </c>
      <c r="U24" s="16"/>
      <c r="V24" s="42">
        <v>10.0</v>
      </c>
      <c r="Y24" s="16">
        <v>21.0</v>
      </c>
      <c r="Z24" s="16"/>
      <c r="AA24" s="16"/>
      <c r="AB24" s="16"/>
      <c r="AC24" s="16"/>
      <c r="AD24" s="16"/>
      <c r="AE24" s="16"/>
      <c r="AF24" s="16"/>
      <c r="AG24" s="16"/>
      <c r="AH24" s="42">
        <v>5.0</v>
      </c>
    </row>
    <row r="25" ht="15.75" customHeight="1">
      <c r="A25" s="16">
        <v>22.0</v>
      </c>
      <c r="B25" s="23">
        <v>2.0</v>
      </c>
      <c r="C25" s="23">
        <v>1.0</v>
      </c>
      <c r="D25" s="23">
        <v>1.0</v>
      </c>
      <c r="E25" s="16"/>
      <c r="F25" s="23">
        <v>0.0</v>
      </c>
      <c r="G25" s="16"/>
      <c r="H25" s="23">
        <v>0.0</v>
      </c>
      <c r="I25" s="16"/>
      <c r="J25" s="42">
        <v>19.0</v>
      </c>
      <c r="M25" s="16">
        <v>22.0</v>
      </c>
      <c r="N25" s="23">
        <v>1.0</v>
      </c>
      <c r="O25" s="16"/>
      <c r="P25" s="23">
        <v>1.0</v>
      </c>
      <c r="Q25" s="16"/>
      <c r="R25" s="23">
        <v>4.0</v>
      </c>
      <c r="S25" s="16"/>
      <c r="T25" s="23">
        <v>0.0</v>
      </c>
      <c r="U25" s="16"/>
      <c r="V25" s="42">
        <v>10.0</v>
      </c>
      <c r="Y25" s="16">
        <v>22.0</v>
      </c>
      <c r="Z25" s="16"/>
      <c r="AA25" s="16"/>
      <c r="AB25" s="16"/>
      <c r="AC25" s="16"/>
      <c r="AD25" s="16"/>
      <c r="AE25" s="16"/>
      <c r="AF25" s="16"/>
      <c r="AG25" s="16"/>
      <c r="AH25" s="42">
        <v>19.0</v>
      </c>
    </row>
    <row r="26" ht="15.75" customHeight="1">
      <c r="A26" s="16">
        <v>23.0</v>
      </c>
      <c r="B26" s="23">
        <v>2.0</v>
      </c>
      <c r="C26" s="16"/>
      <c r="D26" s="23">
        <v>1.0</v>
      </c>
      <c r="E26" s="16"/>
      <c r="F26" s="23">
        <v>0.0</v>
      </c>
      <c r="G26" s="16"/>
      <c r="H26" s="23">
        <v>0.0</v>
      </c>
      <c r="I26" s="16"/>
      <c r="J26" s="43">
        <v>25.0</v>
      </c>
      <c r="M26" s="16">
        <v>23.0</v>
      </c>
      <c r="N26" s="23">
        <v>1.0</v>
      </c>
      <c r="O26" s="16"/>
      <c r="P26" s="23">
        <v>1.0</v>
      </c>
      <c r="Q26" s="23">
        <v>1.0</v>
      </c>
      <c r="R26" s="23">
        <v>4.0</v>
      </c>
      <c r="S26" s="16"/>
      <c r="T26" s="23">
        <v>0.0</v>
      </c>
      <c r="U26" s="16"/>
      <c r="V26" s="43">
        <v>10.0</v>
      </c>
      <c r="Y26" s="16">
        <v>23.0</v>
      </c>
      <c r="Z26" s="16"/>
      <c r="AA26" s="16"/>
      <c r="AB26" s="16"/>
      <c r="AC26" s="16"/>
      <c r="AD26" s="16"/>
      <c r="AE26" s="16"/>
      <c r="AF26" s="16"/>
      <c r="AG26" s="16"/>
      <c r="AH26" s="43">
        <v>3.0</v>
      </c>
    </row>
    <row r="27" ht="15.75" customHeight="1">
      <c r="A27" s="16">
        <v>24.0</v>
      </c>
      <c r="B27" s="23">
        <v>2.0</v>
      </c>
      <c r="C27" s="16"/>
      <c r="D27" s="23">
        <v>1.0</v>
      </c>
      <c r="E27" s="16"/>
      <c r="F27" s="23">
        <v>0.0</v>
      </c>
      <c r="G27" s="23">
        <v>1.0</v>
      </c>
      <c r="H27" s="23">
        <v>0.0</v>
      </c>
      <c r="I27" s="16"/>
      <c r="J27" s="43">
        <v>22.0</v>
      </c>
      <c r="M27" s="16">
        <v>24.0</v>
      </c>
      <c r="N27" s="23">
        <v>1.0</v>
      </c>
      <c r="O27" s="16"/>
      <c r="P27" s="23">
        <v>2.0</v>
      </c>
      <c r="Q27" s="16"/>
      <c r="R27" s="23">
        <v>4.0</v>
      </c>
      <c r="S27" s="16"/>
      <c r="T27" s="23">
        <v>0.0</v>
      </c>
      <c r="U27" s="16"/>
      <c r="V27" s="43">
        <v>10.0</v>
      </c>
      <c r="Y27" s="16">
        <v>24.0</v>
      </c>
      <c r="Z27" s="16"/>
      <c r="AA27" s="16"/>
      <c r="AB27" s="16"/>
      <c r="AC27" s="16"/>
      <c r="AD27" s="16"/>
      <c r="AE27" s="16"/>
      <c r="AF27" s="16"/>
      <c r="AG27" s="16"/>
      <c r="AH27" s="43">
        <v>3.0</v>
      </c>
    </row>
    <row r="28" ht="15.75" customHeight="1">
      <c r="A28" s="16">
        <v>25.0</v>
      </c>
      <c r="B28" s="23">
        <v>2.0</v>
      </c>
      <c r="C28" s="16"/>
      <c r="D28" s="23">
        <v>1.0</v>
      </c>
      <c r="E28" s="23">
        <v>1.0</v>
      </c>
      <c r="F28" s="23">
        <v>1.0</v>
      </c>
      <c r="G28" s="23">
        <v>1.0</v>
      </c>
      <c r="H28" s="23">
        <v>0.0</v>
      </c>
      <c r="I28" s="16"/>
      <c r="J28" s="42">
        <v>15.0</v>
      </c>
      <c r="M28" s="16">
        <v>25.0</v>
      </c>
      <c r="N28" s="23">
        <v>1.0</v>
      </c>
      <c r="O28" s="16"/>
      <c r="P28" s="23">
        <v>2.0</v>
      </c>
      <c r="Q28" s="16"/>
      <c r="R28" s="23">
        <v>4.0</v>
      </c>
      <c r="S28" s="16"/>
      <c r="T28" s="23">
        <v>0.0</v>
      </c>
      <c r="U28" s="16"/>
      <c r="V28" s="42">
        <v>9.0</v>
      </c>
      <c r="Y28" s="16">
        <v>25.0</v>
      </c>
      <c r="Z28" s="16"/>
      <c r="AA28" s="16"/>
      <c r="AB28" s="16"/>
      <c r="AC28" s="16"/>
      <c r="AD28" s="16"/>
      <c r="AE28" s="16"/>
      <c r="AF28" s="16"/>
      <c r="AG28" s="16"/>
      <c r="AH28" s="42">
        <v>4.0</v>
      </c>
    </row>
    <row r="29" ht="15.75" customHeight="1">
      <c r="A29" s="16">
        <v>26.0</v>
      </c>
      <c r="B29" s="23">
        <v>1.0</v>
      </c>
      <c r="C29" s="23">
        <v>2.0</v>
      </c>
      <c r="D29" s="23">
        <v>2.0</v>
      </c>
      <c r="E29" s="16"/>
      <c r="F29" s="23">
        <v>2.0</v>
      </c>
      <c r="G29" s="16"/>
      <c r="H29" s="23">
        <v>0.0</v>
      </c>
      <c r="I29" s="16"/>
      <c r="J29" s="42">
        <v>15.0</v>
      </c>
      <c r="M29" s="16">
        <v>26.0</v>
      </c>
      <c r="N29" s="23">
        <v>1.0</v>
      </c>
      <c r="O29" s="16"/>
      <c r="P29" s="23">
        <v>2.0</v>
      </c>
      <c r="Q29" s="16"/>
      <c r="R29" s="23">
        <v>4.0</v>
      </c>
      <c r="S29" s="16"/>
      <c r="T29" s="23">
        <v>0.0</v>
      </c>
      <c r="U29" s="16"/>
      <c r="V29" s="42">
        <v>9.0</v>
      </c>
      <c r="Y29" s="16">
        <v>26.0</v>
      </c>
      <c r="Z29" s="16"/>
      <c r="AA29" s="16"/>
      <c r="AB29" s="16"/>
      <c r="AC29" s="16"/>
      <c r="AD29" s="16"/>
      <c r="AE29" s="16"/>
      <c r="AF29" s="16"/>
      <c r="AG29" s="16"/>
      <c r="AH29" s="42">
        <v>5.0</v>
      </c>
    </row>
    <row r="30" ht="15.75" customHeight="1">
      <c r="A30" s="16">
        <v>27.0</v>
      </c>
      <c r="B30" s="23">
        <v>3.0</v>
      </c>
      <c r="C30" s="16"/>
      <c r="D30" s="23">
        <v>0.0</v>
      </c>
      <c r="E30" s="16"/>
      <c r="F30" s="23">
        <v>1.0</v>
      </c>
      <c r="G30" s="16"/>
      <c r="H30" s="23">
        <v>0.0</v>
      </c>
      <c r="I30" s="16"/>
      <c r="J30" s="42">
        <v>18.0</v>
      </c>
      <c r="M30" s="16">
        <v>27.0</v>
      </c>
      <c r="N30" s="23">
        <v>1.0</v>
      </c>
      <c r="O30" s="16"/>
      <c r="P30" s="23">
        <v>2.0</v>
      </c>
      <c r="Q30" s="16"/>
      <c r="R30" s="23">
        <v>5.0</v>
      </c>
      <c r="S30" s="16"/>
      <c r="T30" s="23">
        <v>0.0</v>
      </c>
      <c r="U30" s="16"/>
      <c r="V30" s="42">
        <v>10.0</v>
      </c>
      <c r="Y30" s="16">
        <v>27.0</v>
      </c>
      <c r="Z30" s="16"/>
      <c r="AA30" s="16"/>
      <c r="AB30" s="16"/>
      <c r="AC30" s="16"/>
      <c r="AD30" s="16"/>
      <c r="AE30" s="16"/>
      <c r="AF30" s="16"/>
      <c r="AG30" s="16"/>
      <c r="AH30" s="42">
        <v>3.0</v>
      </c>
    </row>
    <row r="31" ht="15.75" customHeight="1">
      <c r="A31" s="16">
        <v>28.0</v>
      </c>
      <c r="B31" s="23">
        <v>2.0</v>
      </c>
      <c r="C31" s="16"/>
      <c r="D31" s="23">
        <v>0.0</v>
      </c>
      <c r="E31" s="16"/>
      <c r="F31" s="23">
        <v>0.0</v>
      </c>
      <c r="G31" s="16"/>
      <c r="H31" s="23">
        <v>0.0</v>
      </c>
      <c r="I31" s="16"/>
      <c r="J31" s="42">
        <v>19.0</v>
      </c>
      <c r="M31" s="16">
        <v>28.0</v>
      </c>
      <c r="N31" s="23">
        <v>1.0</v>
      </c>
      <c r="O31" s="16"/>
      <c r="P31" s="23">
        <v>2.0</v>
      </c>
      <c r="Q31" s="16"/>
      <c r="R31" s="23">
        <v>4.0</v>
      </c>
      <c r="S31" s="16"/>
      <c r="T31" s="23">
        <v>0.0</v>
      </c>
      <c r="U31" s="16"/>
      <c r="V31" s="42">
        <v>10.0</v>
      </c>
      <c r="Y31" s="16">
        <v>28.0</v>
      </c>
      <c r="Z31" s="16"/>
      <c r="AA31" s="16"/>
      <c r="AB31" s="16"/>
      <c r="AC31" s="16"/>
      <c r="AD31" s="16"/>
      <c r="AE31" s="16"/>
      <c r="AF31" s="16"/>
      <c r="AG31" s="16"/>
      <c r="AH31" s="42">
        <v>6.0</v>
      </c>
    </row>
    <row r="32" ht="15.75" customHeight="1">
      <c r="A32" s="16">
        <v>29.0</v>
      </c>
      <c r="B32" s="23">
        <v>2.0</v>
      </c>
      <c r="C32" s="16"/>
      <c r="D32" s="23">
        <v>0.0</v>
      </c>
      <c r="E32" s="16"/>
      <c r="F32" s="23">
        <v>0.0</v>
      </c>
      <c r="G32" s="23">
        <v>1.0</v>
      </c>
      <c r="H32" s="23">
        <v>0.0</v>
      </c>
      <c r="I32" s="16"/>
      <c r="J32" s="42">
        <v>20.0</v>
      </c>
      <c r="M32" s="16">
        <v>29.0</v>
      </c>
      <c r="N32" s="23">
        <v>1.0</v>
      </c>
      <c r="O32" s="16"/>
      <c r="P32" s="23">
        <v>2.0</v>
      </c>
      <c r="Q32" s="16"/>
      <c r="R32" s="23">
        <v>4.0</v>
      </c>
      <c r="S32" s="16"/>
      <c r="T32" s="23">
        <v>0.0</v>
      </c>
      <c r="U32" s="16"/>
      <c r="V32" s="42">
        <v>9.0</v>
      </c>
      <c r="Y32" s="16">
        <v>29.0</v>
      </c>
      <c r="Z32" s="16"/>
      <c r="AA32" s="16"/>
      <c r="AB32" s="16"/>
      <c r="AC32" s="16"/>
      <c r="AD32" s="16"/>
      <c r="AE32" s="16"/>
      <c r="AF32" s="16"/>
      <c r="AG32" s="16"/>
      <c r="AH32" s="42">
        <v>8.0</v>
      </c>
    </row>
    <row r="33" ht="15.75" customHeight="1">
      <c r="A33" s="16">
        <v>30.0</v>
      </c>
      <c r="B33" s="23">
        <v>2.0</v>
      </c>
      <c r="C33" s="16"/>
      <c r="D33" s="23">
        <v>0.0</v>
      </c>
      <c r="E33" s="16"/>
      <c r="F33" s="23">
        <v>1.0</v>
      </c>
      <c r="G33" s="16"/>
      <c r="H33" s="23">
        <v>0.0</v>
      </c>
      <c r="I33" s="16"/>
      <c r="J33" s="43">
        <v>23.0</v>
      </c>
      <c r="M33" s="16">
        <v>30.0</v>
      </c>
      <c r="N33" s="23">
        <v>1.0</v>
      </c>
      <c r="O33" s="16"/>
      <c r="P33" s="23">
        <v>2.0</v>
      </c>
      <c r="Q33" s="16"/>
      <c r="R33" s="23">
        <v>4.0</v>
      </c>
      <c r="S33" s="16"/>
      <c r="T33" s="23">
        <v>0.0</v>
      </c>
      <c r="U33" s="16"/>
      <c r="V33" s="43">
        <v>10.0</v>
      </c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43">
        <v>5.0</v>
      </c>
    </row>
    <row r="34" ht="15.75" customHeight="1">
      <c r="A34" s="16">
        <v>31.0</v>
      </c>
      <c r="B34" s="27">
        <v>2.0</v>
      </c>
      <c r="C34" s="10"/>
      <c r="D34" s="27">
        <v>0.0</v>
      </c>
      <c r="E34" s="10"/>
      <c r="F34" s="27">
        <v>1.0</v>
      </c>
      <c r="G34" s="10"/>
      <c r="H34" s="27">
        <v>0.0</v>
      </c>
      <c r="I34" s="10"/>
      <c r="J34" s="27">
        <v>21.0</v>
      </c>
      <c r="M34" s="16">
        <v>31.0</v>
      </c>
      <c r="N34" s="27">
        <v>1.0</v>
      </c>
      <c r="O34" s="10"/>
      <c r="P34" s="27">
        <v>2.0</v>
      </c>
      <c r="Q34" s="10"/>
      <c r="R34" s="27">
        <v>4.0</v>
      </c>
      <c r="S34" s="10"/>
      <c r="T34" s="27">
        <v>0.0</v>
      </c>
      <c r="U34" s="10"/>
      <c r="V34" s="27">
        <v>10.0</v>
      </c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27">
        <v>5.0</v>
      </c>
    </row>
    <row r="35" ht="15.75" customHeight="1">
      <c r="A35" s="28" t="s">
        <v>11</v>
      </c>
      <c r="B35" s="28">
        <f t="shared" ref="B35:J35" si="1">SUM(B4:B34)</f>
        <v>57</v>
      </c>
      <c r="C35" s="28">
        <f t="shared" si="1"/>
        <v>7</v>
      </c>
      <c r="D35" s="28">
        <f t="shared" si="1"/>
        <v>36</v>
      </c>
      <c r="E35" s="28">
        <f t="shared" si="1"/>
        <v>4</v>
      </c>
      <c r="F35" s="28">
        <f t="shared" si="1"/>
        <v>14</v>
      </c>
      <c r="G35" s="28">
        <f t="shared" si="1"/>
        <v>4</v>
      </c>
      <c r="H35" s="28">
        <f t="shared" si="1"/>
        <v>0</v>
      </c>
      <c r="I35" s="28">
        <f t="shared" si="1"/>
        <v>0</v>
      </c>
      <c r="J35" s="28">
        <f t="shared" si="1"/>
        <v>590</v>
      </c>
      <c r="M35" s="28" t="s">
        <v>11</v>
      </c>
      <c r="N35" s="28">
        <f t="shared" ref="N35:V35" si="2">SUM(N4:N34)</f>
        <v>41</v>
      </c>
      <c r="O35" s="28">
        <f t="shared" si="2"/>
        <v>1</v>
      </c>
      <c r="P35" s="28">
        <f t="shared" si="2"/>
        <v>29</v>
      </c>
      <c r="Q35" s="28">
        <f t="shared" si="2"/>
        <v>5</v>
      </c>
      <c r="R35" s="28">
        <f t="shared" si="2"/>
        <v>91</v>
      </c>
      <c r="S35" s="28">
        <f t="shared" si="2"/>
        <v>6</v>
      </c>
      <c r="T35" s="28">
        <f t="shared" si="2"/>
        <v>0</v>
      </c>
      <c r="U35" s="28">
        <f t="shared" si="2"/>
        <v>0</v>
      </c>
      <c r="V35" s="28">
        <f t="shared" si="2"/>
        <v>291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236</v>
      </c>
    </row>
    <row r="36" ht="15.75" customHeight="1">
      <c r="A36" s="29" t="s">
        <v>12</v>
      </c>
      <c r="B36" s="28">
        <f t="shared" ref="B36:I36" si="4">(B35/$J$35)*1000</f>
        <v>96.61016949</v>
      </c>
      <c r="C36" s="28">
        <f t="shared" si="4"/>
        <v>11.86440678</v>
      </c>
      <c r="D36" s="28">
        <f t="shared" si="4"/>
        <v>61.01694915</v>
      </c>
      <c r="E36" s="28">
        <f t="shared" si="4"/>
        <v>6.779661017</v>
      </c>
      <c r="F36" s="28">
        <f t="shared" si="4"/>
        <v>23.72881356</v>
      </c>
      <c r="G36" s="28">
        <f t="shared" si="4"/>
        <v>6.779661017</v>
      </c>
      <c r="H36" s="28">
        <f t="shared" si="4"/>
        <v>0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14.08934708</v>
      </c>
      <c r="O36" s="28">
        <f t="shared" si="5"/>
        <v>0.3436426117</v>
      </c>
      <c r="P36" s="28">
        <f t="shared" si="5"/>
        <v>9.965635739</v>
      </c>
      <c r="Q36" s="28">
        <f t="shared" si="5"/>
        <v>1.718213058</v>
      </c>
      <c r="R36" s="28">
        <f t="shared" si="5"/>
        <v>31.27147766</v>
      </c>
      <c r="S36" s="28">
        <f t="shared" si="5"/>
        <v>2.06185567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0</v>
      </c>
      <c r="AA36" s="28">
        <f t="shared" si="6"/>
        <v>0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7.44"/>
    <col customWidth="1" min="2" max="9" width="10.44"/>
    <col customWidth="1" min="10" max="10" width="12.11"/>
    <col customWidth="1" min="11" max="22" width="10.44"/>
    <col customWidth="1" min="23" max="23" width="3.78"/>
    <col customWidth="1" min="24" max="24" width="4.33"/>
    <col customWidth="1" min="25" max="29" width="10.44"/>
    <col customWidth="1" min="30" max="34" width="11.11"/>
  </cols>
  <sheetData>
    <row r="1" ht="15.75" customHeight="1">
      <c r="A1" s="30" t="s">
        <v>18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4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2.0</v>
      </c>
      <c r="C4" s="23">
        <v>1.0</v>
      </c>
      <c r="D4" s="23">
        <v>0.0</v>
      </c>
      <c r="E4" s="23">
        <v>2.0</v>
      </c>
      <c r="F4" s="23">
        <v>2.0</v>
      </c>
      <c r="G4" s="16"/>
      <c r="H4" s="23">
        <v>0.0</v>
      </c>
      <c r="I4" s="16"/>
      <c r="J4" s="42">
        <v>17.0</v>
      </c>
      <c r="M4" s="16">
        <v>1.0</v>
      </c>
      <c r="N4" s="23">
        <v>1.0</v>
      </c>
      <c r="O4" s="16"/>
      <c r="P4" s="23">
        <v>2.0</v>
      </c>
      <c r="Q4" s="16"/>
      <c r="R4" s="23">
        <v>4.0</v>
      </c>
      <c r="S4" s="16"/>
      <c r="T4" s="23">
        <v>0.0</v>
      </c>
      <c r="U4" s="16"/>
      <c r="V4" s="42">
        <v>8.0</v>
      </c>
      <c r="Y4" s="16">
        <v>1.0</v>
      </c>
      <c r="Z4" s="16"/>
      <c r="AA4" s="16"/>
      <c r="AB4" s="16"/>
      <c r="AC4" s="16"/>
      <c r="AD4" s="16"/>
      <c r="AE4" s="16"/>
      <c r="AF4" s="16"/>
      <c r="AG4" s="16"/>
      <c r="AH4" s="42">
        <v>4.0</v>
      </c>
    </row>
    <row r="5" ht="15.75" customHeight="1">
      <c r="A5" s="16">
        <v>2.0</v>
      </c>
      <c r="B5" s="23">
        <v>1.0</v>
      </c>
      <c r="C5" s="23">
        <v>1.0</v>
      </c>
      <c r="D5" s="23">
        <v>2.0</v>
      </c>
      <c r="E5" s="16"/>
      <c r="F5" s="23">
        <v>2.0</v>
      </c>
      <c r="G5" s="16"/>
      <c r="H5" s="23">
        <v>0.0</v>
      </c>
      <c r="I5" s="16"/>
      <c r="J5" s="42">
        <v>18.0</v>
      </c>
      <c r="M5" s="16">
        <v>2.0</v>
      </c>
      <c r="N5" s="23">
        <v>1.0</v>
      </c>
      <c r="O5" s="16"/>
      <c r="P5" s="23">
        <v>1.0</v>
      </c>
      <c r="Q5" s="16"/>
      <c r="R5" s="23">
        <v>3.0</v>
      </c>
      <c r="S5" s="16"/>
      <c r="T5" s="23">
        <v>0.0</v>
      </c>
      <c r="U5" s="16"/>
      <c r="V5" s="42">
        <v>10.0</v>
      </c>
      <c r="Y5" s="16">
        <v>2.0</v>
      </c>
      <c r="Z5" s="16"/>
      <c r="AA5" s="16"/>
      <c r="AB5" s="16"/>
      <c r="AC5" s="16"/>
      <c r="AD5" s="16"/>
      <c r="AE5" s="16"/>
      <c r="AF5" s="16"/>
      <c r="AG5" s="16"/>
      <c r="AH5" s="42">
        <v>4.0</v>
      </c>
    </row>
    <row r="6" ht="15.75" customHeight="1">
      <c r="A6" s="16">
        <v>3.0</v>
      </c>
      <c r="B6" s="23">
        <v>1.0</v>
      </c>
      <c r="C6" s="23">
        <v>1.0</v>
      </c>
      <c r="D6" s="23">
        <v>1.0</v>
      </c>
      <c r="E6" s="16"/>
      <c r="F6" s="23">
        <v>0.0</v>
      </c>
      <c r="G6" s="16"/>
      <c r="H6" s="23">
        <v>0.0</v>
      </c>
      <c r="I6" s="16"/>
      <c r="J6" s="42">
        <v>17.0</v>
      </c>
      <c r="M6" s="16">
        <v>3.0</v>
      </c>
      <c r="N6" s="23">
        <v>1.0</v>
      </c>
      <c r="O6" s="23">
        <v>2.0</v>
      </c>
      <c r="P6" s="23">
        <v>1.0</v>
      </c>
      <c r="Q6" s="16"/>
      <c r="R6" s="23">
        <v>2.0</v>
      </c>
      <c r="S6" s="16"/>
      <c r="T6" s="23">
        <v>0.0</v>
      </c>
      <c r="U6" s="16"/>
      <c r="V6" s="42">
        <v>10.0</v>
      </c>
      <c r="Y6" s="16">
        <v>3.0</v>
      </c>
      <c r="Z6" s="16"/>
      <c r="AA6" s="16"/>
      <c r="AB6" s="16"/>
      <c r="AC6" s="16"/>
      <c r="AD6" s="16"/>
      <c r="AE6" s="16"/>
      <c r="AF6" s="16"/>
      <c r="AG6" s="16"/>
      <c r="AH6" s="42">
        <v>5.0</v>
      </c>
    </row>
    <row r="7" ht="15.75" customHeight="1">
      <c r="A7" s="16">
        <v>4.0</v>
      </c>
      <c r="B7" s="23">
        <v>2.0</v>
      </c>
      <c r="C7" s="23"/>
      <c r="D7" s="23">
        <v>1.0</v>
      </c>
      <c r="E7" s="16"/>
      <c r="F7" s="23">
        <v>1.0</v>
      </c>
      <c r="G7" s="16"/>
      <c r="H7" s="23">
        <v>0.0</v>
      </c>
      <c r="I7" s="16"/>
      <c r="J7" s="42">
        <v>17.0</v>
      </c>
      <c r="M7" s="16">
        <v>4.0</v>
      </c>
      <c r="N7" s="23">
        <v>0.0</v>
      </c>
      <c r="O7" s="16"/>
      <c r="P7" s="23">
        <v>1.0</v>
      </c>
      <c r="Q7" s="16"/>
      <c r="R7" s="23">
        <v>2.0</v>
      </c>
      <c r="S7" s="16"/>
      <c r="T7" s="23">
        <v>0.0</v>
      </c>
      <c r="U7" s="16"/>
      <c r="V7" s="42">
        <v>9.0</v>
      </c>
      <c r="Y7" s="16">
        <v>4.0</v>
      </c>
      <c r="Z7" s="16"/>
      <c r="AA7" s="16"/>
      <c r="AB7" s="16"/>
      <c r="AC7" s="16"/>
      <c r="AD7" s="16"/>
      <c r="AE7" s="16"/>
      <c r="AF7" s="16"/>
      <c r="AG7" s="16"/>
      <c r="AH7" s="42">
        <v>6.0</v>
      </c>
    </row>
    <row r="8" ht="15.75" customHeight="1">
      <c r="A8" s="28">
        <v>5.0</v>
      </c>
      <c r="B8" s="23">
        <v>2.0</v>
      </c>
      <c r="C8" s="16"/>
      <c r="D8" s="23">
        <v>1.0</v>
      </c>
      <c r="E8" s="16"/>
      <c r="F8" s="23">
        <v>1.0</v>
      </c>
      <c r="G8" s="16"/>
      <c r="H8" s="23">
        <v>0.0</v>
      </c>
      <c r="I8" s="16"/>
      <c r="J8" s="23">
        <v>19.0</v>
      </c>
      <c r="M8" s="16">
        <v>5.0</v>
      </c>
      <c r="N8" s="23">
        <v>0.0</v>
      </c>
      <c r="O8" s="16"/>
      <c r="P8" s="23">
        <v>1.0</v>
      </c>
      <c r="Q8" s="16"/>
      <c r="R8" s="23">
        <v>2.0</v>
      </c>
      <c r="S8" s="16"/>
      <c r="T8" s="23">
        <v>0.0</v>
      </c>
      <c r="U8" s="16"/>
      <c r="V8" s="23">
        <v>10.0</v>
      </c>
      <c r="Y8" s="16">
        <v>5.0</v>
      </c>
      <c r="Z8" s="16"/>
      <c r="AA8" s="16"/>
      <c r="AB8" s="16"/>
      <c r="AC8" s="16"/>
      <c r="AD8" s="16"/>
      <c r="AE8" s="16"/>
      <c r="AF8" s="16"/>
      <c r="AG8" s="16"/>
      <c r="AH8" s="23">
        <v>5.0</v>
      </c>
    </row>
    <row r="9" ht="15.75" customHeight="1">
      <c r="A9" s="16">
        <v>6.0</v>
      </c>
      <c r="B9" s="23">
        <v>1.0</v>
      </c>
      <c r="C9" s="16"/>
      <c r="D9" s="23">
        <v>1.0</v>
      </c>
      <c r="E9" s="16"/>
      <c r="F9" s="23">
        <v>0.0</v>
      </c>
      <c r="G9" s="16"/>
      <c r="H9" s="23">
        <v>0.0</v>
      </c>
      <c r="I9" s="16"/>
      <c r="J9" s="23">
        <v>22.0</v>
      </c>
      <c r="M9" s="16">
        <v>6.0</v>
      </c>
      <c r="N9" s="23">
        <v>0.0</v>
      </c>
      <c r="O9" s="16"/>
      <c r="P9" s="23">
        <v>1.0</v>
      </c>
      <c r="Q9" s="16"/>
      <c r="R9" s="23">
        <v>2.0</v>
      </c>
      <c r="S9" s="16"/>
      <c r="T9" s="23">
        <v>0.0</v>
      </c>
      <c r="U9" s="16"/>
      <c r="V9" s="23">
        <v>10.0</v>
      </c>
      <c r="Y9" s="16">
        <v>6.0</v>
      </c>
      <c r="Z9" s="16"/>
      <c r="AA9" s="23">
        <v>1.0</v>
      </c>
      <c r="AB9" s="16"/>
      <c r="AC9" s="16"/>
      <c r="AD9" s="16"/>
      <c r="AE9" s="16"/>
      <c r="AF9" s="16"/>
      <c r="AG9" s="16"/>
      <c r="AH9" s="23">
        <v>9.0</v>
      </c>
    </row>
    <row r="10" ht="15.75" customHeight="1">
      <c r="A10" s="16">
        <v>7.0</v>
      </c>
      <c r="B10" s="23">
        <v>1.0</v>
      </c>
      <c r="C10" s="23">
        <v>1.0</v>
      </c>
      <c r="D10" s="23">
        <v>1.0</v>
      </c>
      <c r="E10" s="16"/>
      <c r="F10" s="23">
        <v>0.0</v>
      </c>
      <c r="G10" s="16"/>
      <c r="H10" s="23">
        <v>0.0</v>
      </c>
      <c r="I10" s="16"/>
      <c r="J10" s="23">
        <v>22.0</v>
      </c>
      <c r="M10" s="16">
        <v>7.0</v>
      </c>
      <c r="N10" s="23">
        <v>0.0</v>
      </c>
      <c r="O10" s="16"/>
      <c r="P10" s="23">
        <v>1.0</v>
      </c>
      <c r="Q10" s="23">
        <v>1.0</v>
      </c>
      <c r="R10" s="23">
        <v>2.0</v>
      </c>
      <c r="S10" s="16"/>
      <c r="T10" s="23">
        <v>0.0</v>
      </c>
      <c r="U10" s="16"/>
      <c r="V10" s="23">
        <v>12.0</v>
      </c>
      <c r="Y10" s="16">
        <v>7.0</v>
      </c>
      <c r="Z10" s="23">
        <v>1.0</v>
      </c>
      <c r="AA10" s="16"/>
      <c r="AB10" s="16"/>
      <c r="AC10" s="16"/>
      <c r="AD10" s="16"/>
      <c r="AE10" s="16"/>
      <c r="AF10" s="16"/>
      <c r="AG10" s="16"/>
      <c r="AH10" s="23">
        <v>10.0</v>
      </c>
    </row>
    <row r="11" ht="15.75" customHeight="1">
      <c r="A11" s="16">
        <v>8.0</v>
      </c>
      <c r="B11" s="23">
        <v>1.0</v>
      </c>
      <c r="C11" s="23">
        <v>2.0</v>
      </c>
      <c r="D11" s="23">
        <v>1.0</v>
      </c>
      <c r="E11" s="16"/>
      <c r="F11" s="23">
        <v>0.0</v>
      </c>
      <c r="G11" s="16"/>
      <c r="H11" s="23">
        <v>0.0</v>
      </c>
      <c r="I11" s="16"/>
      <c r="J11" s="23">
        <v>16.0</v>
      </c>
      <c r="M11" s="16">
        <v>8.0</v>
      </c>
      <c r="N11" s="23">
        <v>0.0</v>
      </c>
      <c r="O11" s="16"/>
      <c r="P11" s="23">
        <v>2.0</v>
      </c>
      <c r="Q11" s="23">
        <v>1.0</v>
      </c>
      <c r="R11" s="23">
        <v>2.0</v>
      </c>
      <c r="S11" s="16"/>
      <c r="T11" s="23">
        <v>0.0</v>
      </c>
      <c r="U11" s="16"/>
      <c r="V11" s="23">
        <v>10.0</v>
      </c>
      <c r="Y11" s="16">
        <v>8.0</v>
      </c>
      <c r="Z11" s="23">
        <v>1.0</v>
      </c>
      <c r="AA11" s="16"/>
      <c r="AB11" s="16"/>
      <c r="AC11" s="16"/>
      <c r="AD11" s="16"/>
      <c r="AE11" s="16"/>
      <c r="AF11" s="16"/>
      <c r="AG11" s="16"/>
      <c r="AH11" s="23">
        <v>10.0</v>
      </c>
    </row>
    <row r="12" ht="15.75" customHeight="1">
      <c r="A12" s="16">
        <v>9.0</v>
      </c>
      <c r="B12" s="23">
        <v>3.0</v>
      </c>
      <c r="C12" s="16"/>
      <c r="D12" s="23">
        <v>1.0</v>
      </c>
      <c r="E12" s="16"/>
      <c r="F12" s="23">
        <v>0.0</v>
      </c>
      <c r="G12" s="23">
        <v>1.0</v>
      </c>
      <c r="H12" s="23">
        <v>0.0</v>
      </c>
      <c r="I12" s="16"/>
      <c r="J12" s="23">
        <v>17.0</v>
      </c>
      <c r="M12" s="16">
        <v>9.0</v>
      </c>
      <c r="N12" s="23">
        <v>0.0</v>
      </c>
      <c r="O12" s="16"/>
      <c r="P12" s="23">
        <v>3.0</v>
      </c>
      <c r="Q12" s="16"/>
      <c r="R12" s="23">
        <v>2.0</v>
      </c>
      <c r="S12" s="16"/>
      <c r="T12" s="23">
        <v>0.0</v>
      </c>
      <c r="U12" s="16"/>
      <c r="V12" s="23">
        <v>10.0</v>
      </c>
      <c r="Y12" s="16">
        <v>9.0</v>
      </c>
      <c r="Z12" s="23">
        <v>0.0</v>
      </c>
      <c r="AA12" s="16"/>
      <c r="AB12" s="16"/>
      <c r="AC12" s="16"/>
      <c r="AD12" s="16"/>
      <c r="AE12" s="16"/>
      <c r="AF12" s="16"/>
      <c r="AG12" s="16"/>
      <c r="AH12" s="23">
        <v>5.0</v>
      </c>
    </row>
    <row r="13" ht="15.75" customHeight="1">
      <c r="A13" s="16">
        <v>10.0</v>
      </c>
      <c r="B13" s="23">
        <v>3.0</v>
      </c>
      <c r="C13" s="16"/>
      <c r="D13" s="23">
        <v>1.0</v>
      </c>
      <c r="E13" s="23">
        <v>1.0</v>
      </c>
      <c r="F13" s="23">
        <v>1.0</v>
      </c>
      <c r="G13" s="16"/>
      <c r="H13" s="23">
        <v>0.0</v>
      </c>
      <c r="I13" s="16"/>
      <c r="J13" s="23">
        <v>18.0</v>
      </c>
      <c r="M13" s="16">
        <v>10.0</v>
      </c>
      <c r="N13" s="23">
        <v>0.0</v>
      </c>
      <c r="O13" s="16"/>
      <c r="P13" s="23">
        <v>3.0</v>
      </c>
      <c r="Q13" s="16"/>
      <c r="R13" s="23">
        <v>2.0</v>
      </c>
      <c r="S13" s="16"/>
      <c r="T13" s="23">
        <v>0.0</v>
      </c>
      <c r="U13" s="16"/>
      <c r="V13" s="23">
        <v>10.0</v>
      </c>
      <c r="Y13" s="16">
        <v>10.0</v>
      </c>
      <c r="Z13" s="23">
        <v>0.0</v>
      </c>
      <c r="AA13" s="16"/>
      <c r="AB13" s="16"/>
      <c r="AC13" s="16"/>
      <c r="AD13" s="16"/>
      <c r="AE13" s="16"/>
      <c r="AF13" s="16"/>
      <c r="AG13" s="16"/>
      <c r="AH13" s="23">
        <v>5.0</v>
      </c>
    </row>
    <row r="14" ht="15.75" customHeight="1">
      <c r="A14" s="16">
        <v>11.0</v>
      </c>
      <c r="B14" s="23">
        <v>3.0</v>
      </c>
      <c r="C14" s="16"/>
      <c r="D14" s="23">
        <v>1.0</v>
      </c>
      <c r="E14" s="16"/>
      <c r="F14" s="23">
        <v>0.0</v>
      </c>
      <c r="G14" s="16"/>
      <c r="H14" s="23">
        <v>0.0</v>
      </c>
      <c r="I14" s="16"/>
      <c r="J14" s="23">
        <v>19.0</v>
      </c>
      <c r="M14" s="16">
        <v>11.0</v>
      </c>
      <c r="N14" s="23">
        <v>0.0</v>
      </c>
      <c r="O14" s="16"/>
      <c r="P14" s="23">
        <v>3.0</v>
      </c>
      <c r="Q14" s="16"/>
      <c r="R14" s="23">
        <v>2.0</v>
      </c>
      <c r="S14" s="16"/>
      <c r="T14" s="23">
        <v>0.0</v>
      </c>
      <c r="U14" s="16"/>
      <c r="V14" s="23">
        <v>10.0</v>
      </c>
      <c r="Y14" s="16">
        <v>11.0</v>
      </c>
      <c r="Z14" s="23">
        <v>0.0</v>
      </c>
      <c r="AA14" s="16"/>
      <c r="AB14" s="16"/>
      <c r="AC14" s="16"/>
      <c r="AD14" s="16"/>
      <c r="AE14" s="16"/>
      <c r="AF14" s="16"/>
      <c r="AG14" s="16"/>
      <c r="AH14" s="23">
        <v>7.0</v>
      </c>
    </row>
    <row r="15" ht="15.75" customHeight="1">
      <c r="A15" s="16">
        <v>12.0</v>
      </c>
      <c r="B15" s="23">
        <v>2.0</v>
      </c>
      <c r="C15" s="16"/>
      <c r="D15" s="23">
        <v>1.0</v>
      </c>
      <c r="E15" s="16"/>
      <c r="F15" s="23">
        <v>0.0</v>
      </c>
      <c r="G15" s="16"/>
      <c r="H15" s="23">
        <v>0.0</v>
      </c>
      <c r="I15" s="16"/>
      <c r="J15" s="23">
        <v>19.0</v>
      </c>
      <c r="M15" s="16">
        <v>12.0</v>
      </c>
      <c r="N15" s="23">
        <v>0.0</v>
      </c>
      <c r="O15" s="16"/>
      <c r="P15" s="23">
        <v>3.0</v>
      </c>
      <c r="Q15" s="16"/>
      <c r="R15" s="23">
        <v>2.0</v>
      </c>
      <c r="S15" s="16"/>
      <c r="T15" s="23">
        <v>0.0</v>
      </c>
      <c r="U15" s="16"/>
      <c r="V15" s="23">
        <v>9.0</v>
      </c>
      <c r="Y15" s="16">
        <v>12.0</v>
      </c>
      <c r="Z15" s="23">
        <v>0.0</v>
      </c>
      <c r="AA15" s="16"/>
      <c r="AB15" s="16"/>
      <c r="AC15" s="16"/>
      <c r="AD15" s="16"/>
      <c r="AE15" s="16"/>
      <c r="AF15" s="16"/>
      <c r="AG15" s="16"/>
      <c r="AH15" s="23">
        <v>6.0</v>
      </c>
    </row>
    <row r="16" ht="15.75" customHeight="1">
      <c r="A16" s="16">
        <v>13.0</v>
      </c>
      <c r="B16" s="23">
        <v>1.0</v>
      </c>
      <c r="C16" s="16"/>
      <c r="D16" s="23">
        <v>1.0</v>
      </c>
      <c r="E16" s="16"/>
      <c r="F16" s="23">
        <v>0.0</v>
      </c>
      <c r="G16" s="16"/>
      <c r="H16" s="23">
        <v>0.0</v>
      </c>
      <c r="I16" s="16"/>
      <c r="J16" s="23">
        <v>26.0</v>
      </c>
      <c r="M16" s="16">
        <v>13.0</v>
      </c>
      <c r="N16" s="23">
        <v>0.0</v>
      </c>
      <c r="O16" s="16"/>
      <c r="P16" s="23">
        <v>3.0</v>
      </c>
      <c r="Q16" s="16"/>
      <c r="R16" s="23">
        <v>2.0</v>
      </c>
      <c r="S16" s="16"/>
      <c r="T16" s="23">
        <v>0.0</v>
      </c>
      <c r="U16" s="16"/>
      <c r="V16" s="23">
        <v>11.0</v>
      </c>
      <c r="Y16" s="16">
        <v>13.0</v>
      </c>
      <c r="Z16" s="23">
        <v>0.0</v>
      </c>
      <c r="AA16" s="16"/>
      <c r="AB16" s="16"/>
      <c r="AC16" s="16"/>
      <c r="AD16" s="16"/>
      <c r="AE16" s="16"/>
      <c r="AF16" s="16"/>
      <c r="AG16" s="16"/>
      <c r="AH16" s="23">
        <v>8.0</v>
      </c>
    </row>
    <row r="17" ht="15.75" customHeight="1">
      <c r="A17" s="16">
        <v>14.0</v>
      </c>
      <c r="B17" s="23">
        <v>2.0</v>
      </c>
      <c r="C17" s="16"/>
      <c r="D17" s="23">
        <v>1.0</v>
      </c>
      <c r="E17" s="16"/>
      <c r="F17" s="23">
        <v>0.0</v>
      </c>
      <c r="G17" s="16"/>
      <c r="H17" s="23">
        <v>0.0</v>
      </c>
      <c r="I17" s="16"/>
      <c r="J17" s="23">
        <v>20.0</v>
      </c>
      <c r="M17" s="16">
        <v>14.0</v>
      </c>
      <c r="N17" s="23">
        <v>0.0</v>
      </c>
      <c r="O17" s="16"/>
      <c r="P17" s="23">
        <v>3.0</v>
      </c>
      <c r="Q17" s="16"/>
      <c r="R17" s="23">
        <v>2.0</v>
      </c>
      <c r="S17" s="16"/>
      <c r="T17" s="23">
        <v>0.0</v>
      </c>
      <c r="U17" s="16"/>
      <c r="V17" s="23">
        <v>10.0</v>
      </c>
      <c r="Y17" s="16">
        <v>14.0</v>
      </c>
      <c r="Z17" s="23">
        <v>0.0</v>
      </c>
      <c r="AA17" s="16"/>
      <c r="AB17" s="16"/>
      <c r="AC17" s="16"/>
      <c r="AD17" s="16"/>
      <c r="AE17" s="16"/>
      <c r="AF17" s="16"/>
      <c r="AG17" s="16"/>
      <c r="AH17" s="23">
        <v>8.0</v>
      </c>
    </row>
    <row r="18" ht="15.75" customHeight="1">
      <c r="A18" s="16">
        <v>15.0</v>
      </c>
      <c r="B18" s="23">
        <v>2.0</v>
      </c>
      <c r="C18" s="23">
        <v>1.0</v>
      </c>
      <c r="D18" s="23">
        <v>1.0</v>
      </c>
      <c r="E18" s="23">
        <v>2.0</v>
      </c>
      <c r="F18" s="23">
        <v>0.0</v>
      </c>
      <c r="G18" s="23">
        <v>1.0</v>
      </c>
      <c r="H18" s="23">
        <v>0.0</v>
      </c>
      <c r="I18" s="16"/>
      <c r="J18" s="23">
        <v>16.0</v>
      </c>
      <c r="M18" s="16">
        <v>15.0</v>
      </c>
      <c r="N18" s="23">
        <v>0.0</v>
      </c>
      <c r="O18" s="16"/>
      <c r="P18" s="23">
        <v>3.0</v>
      </c>
      <c r="Q18" s="23">
        <v>1.0</v>
      </c>
      <c r="R18" s="23">
        <v>2.0</v>
      </c>
      <c r="S18" s="23">
        <v>1.0</v>
      </c>
      <c r="T18" s="23">
        <v>0.0</v>
      </c>
      <c r="U18" s="16"/>
      <c r="V18" s="23">
        <v>9.0</v>
      </c>
      <c r="Y18" s="16">
        <v>15.0</v>
      </c>
      <c r="Z18" s="23">
        <v>0.0</v>
      </c>
      <c r="AA18" s="16"/>
      <c r="AB18" s="16"/>
      <c r="AC18" s="16"/>
      <c r="AD18" s="16"/>
      <c r="AE18" s="16"/>
      <c r="AF18" s="16"/>
      <c r="AG18" s="16"/>
      <c r="AH18" s="23">
        <v>7.0</v>
      </c>
    </row>
    <row r="19" ht="15.75" customHeight="1">
      <c r="A19" s="16">
        <v>16.0</v>
      </c>
      <c r="B19" s="23">
        <v>2.0</v>
      </c>
      <c r="C19" s="16"/>
      <c r="D19" s="23">
        <v>2.0</v>
      </c>
      <c r="E19" s="16"/>
      <c r="F19" s="23">
        <v>1.0</v>
      </c>
      <c r="G19" s="16"/>
      <c r="H19" s="23">
        <v>0.0</v>
      </c>
      <c r="I19" s="16"/>
      <c r="J19" s="23">
        <v>18.0</v>
      </c>
      <c r="M19" s="16">
        <v>16.0</v>
      </c>
      <c r="N19" s="23">
        <v>0.0</v>
      </c>
      <c r="O19" s="16"/>
      <c r="P19" s="23">
        <v>4.0</v>
      </c>
      <c r="Q19" s="16"/>
      <c r="R19" s="23">
        <v>3.0</v>
      </c>
      <c r="S19" s="16"/>
      <c r="T19" s="23">
        <v>0.0</v>
      </c>
      <c r="U19" s="16"/>
      <c r="V19" s="23">
        <v>8.0</v>
      </c>
      <c r="Y19" s="16">
        <v>16.0</v>
      </c>
      <c r="Z19" s="23">
        <v>0.0</v>
      </c>
      <c r="AA19" s="16"/>
      <c r="AB19" s="16"/>
      <c r="AC19" s="16"/>
      <c r="AD19" s="16"/>
      <c r="AE19" s="16"/>
      <c r="AF19" s="16"/>
      <c r="AG19" s="16"/>
      <c r="AH19" s="23">
        <v>4.0</v>
      </c>
    </row>
    <row r="20" ht="15.75" customHeight="1">
      <c r="A20" s="16">
        <v>17.0</v>
      </c>
      <c r="B20" s="23">
        <v>2.0</v>
      </c>
      <c r="C20" s="23">
        <v>2.0</v>
      </c>
      <c r="D20" s="23">
        <v>2.0</v>
      </c>
      <c r="E20" s="16"/>
      <c r="F20" s="23">
        <v>1.0</v>
      </c>
      <c r="G20" s="16"/>
      <c r="H20" s="23">
        <v>0.0</v>
      </c>
      <c r="I20" s="16"/>
      <c r="J20" s="23">
        <v>19.0</v>
      </c>
      <c r="M20" s="16">
        <v>17.0</v>
      </c>
      <c r="N20" s="23">
        <v>0.0</v>
      </c>
      <c r="O20" s="16"/>
      <c r="P20" s="23">
        <v>3.0</v>
      </c>
      <c r="Q20" s="16"/>
      <c r="R20" s="23">
        <v>2.0</v>
      </c>
      <c r="S20" s="16"/>
      <c r="T20" s="23">
        <v>0.0</v>
      </c>
      <c r="U20" s="16"/>
      <c r="V20" s="23">
        <v>9.0</v>
      </c>
      <c r="Y20" s="16">
        <v>17.0</v>
      </c>
      <c r="Z20" s="23">
        <v>0.0</v>
      </c>
      <c r="AA20" s="16"/>
      <c r="AB20" s="16"/>
      <c r="AC20" s="16"/>
      <c r="AD20" s="16"/>
      <c r="AE20" s="16"/>
      <c r="AF20" s="16"/>
      <c r="AG20" s="16"/>
      <c r="AH20" s="23">
        <v>6.0</v>
      </c>
    </row>
    <row r="21" ht="15.75" customHeight="1">
      <c r="A21" s="16">
        <v>18.0</v>
      </c>
      <c r="B21" s="23">
        <v>3.0</v>
      </c>
      <c r="C21" s="16"/>
      <c r="D21" s="23">
        <v>1.0</v>
      </c>
      <c r="E21" s="16"/>
      <c r="F21" s="23">
        <v>0.0</v>
      </c>
      <c r="G21" s="16"/>
      <c r="H21" s="23">
        <v>0.0</v>
      </c>
      <c r="I21" s="16"/>
      <c r="J21" s="23">
        <v>14.0</v>
      </c>
      <c r="M21" s="16">
        <v>18.0</v>
      </c>
      <c r="N21" s="23">
        <v>0.0</v>
      </c>
      <c r="O21" s="16"/>
      <c r="P21" s="23">
        <v>3.0</v>
      </c>
      <c r="Q21" s="16"/>
      <c r="R21" s="23">
        <v>2.0</v>
      </c>
      <c r="S21" s="23">
        <v>1.0</v>
      </c>
      <c r="T21" s="23">
        <v>0.0</v>
      </c>
      <c r="U21" s="16"/>
      <c r="V21" s="23">
        <v>9.0</v>
      </c>
      <c r="Y21" s="16">
        <v>18.0</v>
      </c>
      <c r="Z21" s="23">
        <v>0.0</v>
      </c>
      <c r="AA21" s="16"/>
      <c r="AB21" s="16"/>
      <c r="AC21" s="16"/>
      <c r="AD21" s="16"/>
      <c r="AE21" s="16"/>
      <c r="AF21" s="16"/>
      <c r="AG21" s="16"/>
      <c r="AH21" s="23">
        <v>5.0</v>
      </c>
    </row>
    <row r="22" ht="15.75" customHeight="1">
      <c r="A22" s="16">
        <v>19.0</v>
      </c>
      <c r="B22" s="23">
        <v>3.0</v>
      </c>
      <c r="C22" s="16"/>
      <c r="D22" s="23">
        <v>1.0</v>
      </c>
      <c r="E22" s="16"/>
      <c r="F22" s="23">
        <v>0.0</v>
      </c>
      <c r="G22" s="16"/>
      <c r="H22" s="23">
        <v>0.0</v>
      </c>
      <c r="I22" s="16"/>
      <c r="J22" s="23">
        <v>15.0</v>
      </c>
      <c r="M22" s="16">
        <v>19.0</v>
      </c>
      <c r="N22" s="23">
        <v>0.0</v>
      </c>
      <c r="O22" s="16"/>
      <c r="P22" s="23">
        <v>3.0</v>
      </c>
      <c r="Q22" s="16"/>
      <c r="R22" s="23">
        <v>3.0</v>
      </c>
      <c r="S22" s="16"/>
      <c r="T22" s="23">
        <v>0.0</v>
      </c>
      <c r="U22" s="16"/>
      <c r="V22" s="23">
        <v>9.0</v>
      </c>
      <c r="Y22" s="16">
        <v>19.0</v>
      </c>
      <c r="Z22" s="23">
        <v>0.0</v>
      </c>
      <c r="AA22" s="16"/>
      <c r="AB22" s="16"/>
      <c r="AC22" s="16"/>
      <c r="AD22" s="16"/>
      <c r="AE22" s="16"/>
      <c r="AF22" s="16"/>
      <c r="AG22" s="16"/>
      <c r="AH22" s="23">
        <v>9.0</v>
      </c>
    </row>
    <row r="23" ht="15.75" customHeight="1">
      <c r="A23" s="16">
        <v>20.0</v>
      </c>
      <c r="B23" s="23">
        <v>3.0</v>
      </c>
      <c r="C23" s="16"/>
      <c r="D23" s="23">
        <v>1.0</v>
      </c>
      <c r="E23" s="16"/>
      <c r="F23" s="23">
        <v>0.0</v>
      </c>
      <c r="G23" s="16"/>
      <c r="H23" s="23">
        <v>0.0</v>
      </c>
      <c r="I23" s="16"/>
      <c r="J23" s="23">
        <v>22.0</v>
      </c>
      <c r="M23" s="16">
        <v>20.0</v>
      </c>
      <c r="N23" s="23">
        <v>0.0</v>
      </c>
      <c r="O23" s="16"/>
      <c r="P23" s="23">
        <v>3.0</v>
      </c>
      <c r="Q23" s="16"/>
      <c r="R23" s="23">
        <v>3.0</v>
      </c>
      <c r="S23" s="16"/>
      <c r="T23" s="23">
        <v>0.0</v>
      </c>
      <c r="U23" s="16"/>
      <c r="V23" s="23">
        <v>10.0</v>
      </c>
      <c r="Y23" s="16">
        <v>20.0</v>
      </c>
      <c r="Z23" s="23">
        <v>0.0</v>
      </c>
      <c r="AA23" s="16"/>
      <c r="AB23" s="16"/>
      <c r="AC23" s="16"/>
      <c r="AD23" s="16"/>
      <c r="AE23" s="16"/>
      <c r="AF23" s="16"/>
      <c r="AG23" s="16"/>
      <c r="AH23" s="23">
        <v>9.0</v>
      </c>
    </row>
    <row r="24" ht="15.75" customHeight="1">
      <c r="A24" s="16">
        <v>21.0</v>
      </c>
      <c r="B24" s="23">
        <v>3.0</v>
      </c>
      <c r="C24" s="16"/>
      <c r="D24" s="23">
        <v>0.0</v>
      </c>
      <c r="E24" s="23"/>
      <c r="F24" s="23">
        <v>0.0</v>
      </c>
      <c r="G24" s="23">
        <v>1.0</v>
      </c>
      <c r="H24" s="23">
        <v>0.0</v>
      </c>
      <c r="I24" s="16"/>
      <c r="J24" s="23">
        <v>22.0</v>
      </c>
      <c r="M24" s="16">
        <v>21.0</v>
      </c>
      <c r="N24" s="23">
        <v>0.0</v>
      </c>
      <c r="O24" s="16"/>
      <c r="P24" s="23">
        <v>3.0</v>
      </c>
      <c r="Q24" s="23">
        <v>1.0</v>
      </c>
      <c r="R24" s="23">
        <v>2.0</v>
      </c>
      <c r="S24" s="16"/>
      <c r="T24" s="23">
        <v>0.0</v>
      </c>
      <c r="U24" s="16"/>
      <c r="V24" s="23">
        <v>10.0</v>
      </c>
      <c r="Y24" s="16">
        <v>21.0</v>
      </c>
      <c r="Z24" s="23">
        <v>0.0</v>
      </c>
      <c r="AA24" s="16"/>
      <c r="AB24" s="16"/>
      <c r="AC24" s="16"/>
      <c r="AD24" s="16"/>
      <c r="AE24" s="16"/>
      <c r="AF24" s="16"/>
      <c r="AG24" s="16"/>
      <c r="AH24" s="23">
        <v>8.0</v>
      </c>
    </row>
    <row r="25" ht="15.75" customHeight="1">
      <c r="A25" s="16">
        <v>22.0</v>
      </c>
      <c r="B25" s="23">
        <v>2.0</v>
      </c>
      <c r="C25" s="23">
        <v>2.0</v>
      </c>
      <c r="D25" s="23">
        <v>0.0</v>
      </c>
      <c r="E25" s="23"/>
      <c r="F25" s="23">
        <v>1.0</v>
      </c>
      <c r="G25" s="16"/>
      <c r="H25" s="23">
        <v>0.0</v>
      </c>
      <c r="I25" s="16"/>
      <c r="J25" s="23">
        <v>18.0</v>
      </c>
      <c r="M25" s="16">
        <v>22.0</v>
      </c>
      <c r="N25" s="23">
        <v>0.0</v>
      </c>
      <c r="O25" s="16"/>
      <c r="P25" s="23">
        <v>4.0</v>
      </c>
      <c r="Q25" s="23">
        <v>1.0</v>
      </c>
      <c r="R25" s="23">
        <v>2.0</v>
      </c>
      <c r="S25" s="23">
        <v>1.0</v>
      </c>
      <c r="T25" s="23">
        <v>0.0</v>
      </c>
      <c r="U25" s="16"/>
      <c r="V25" s="23">
        <v>10.0</v>
      </c>
      <c r="Y25" s="16">
        <v>22.0</v>
      </c>
      <c r="Z25" s="23">
        <v>0.0</v>
      </c>
      <c r="AA25" s="16"/>
      <c r="AB25" s="16"/>
      <c r="AC25" s="16"/>
      <c r="AD25" s="16"/>
      <c r="AE25" s="16"/>
      <c r="AF25" s="16"/>
      <c r="AG25" s="16"/>
      <c r="AH25" s="23">
        <v>9.0</v>
      </c>
    </row>
    <row r="26" ht="15.75" customHeight="1">
      <c r="A26" s="16">
        <v>23.0</v>
      </c>
      <c r="B26" s="23">
        <v>4.0</v>
      </c>
      <c r="C26" s="23"/>
      <c r="D26" s="23">
        <v>0.0</v>
      </c>
      <c r="E26" s="23">
        <v>1.0</v>
      </c>
      <c r="F26" s="23">
        <v>0.0</v>
      </c>
      <c r="G26" s="16"/>
      <c r="H26" s="23">
        <v>0.0</v>
      </c>
      <c r="I26" s="16"/>
      <c r="J26" s="23">
        <v>17.0</v>
      </c>
      <c r="M26" s="16">
        <v>23.0</v>
      </c>
      <c r="N26" s="23">
        <v>0.0</v>
      </c>
      <c r="O26" s="16"/>
      <c r="P26" s="23">
        <v>5.0</v>
      </c>
      <c r="Q26" s="16"/>
      <c r="R26" s="23">
        <v>2.0</v>
      </c>
      <c r="S26" s="16"/>
      <c r="T26" s="23">
        <v>0.0</v>
      </c>
      <c r="U26" s="16"/>
      <c r="V26" s="23">
        <v>9.0</v>
      </c>
      <c r="Y26" s="16">
        <v>23.0</v>
      </c>
      <c r="Z26" s="23">
        <v>0.0</v>
      </c>
      <c r="AA26" s="16"/>
      <c r="AB26" s="16"/>
      <c r="AC26" s="16"/>
      <c r="AD26" s="16"/>
      <c r="AE26" s="16"/>
      <c r="AF26" s="16"/>
      <c r="AG26" s="16"/>
      <c r="AH26" s="23">
        <v>11.0</v>
      </c>
    </row>
    <row r="27" ht="15.75" customHeight="1">
      <c r="A27" s="16">
        <v>24.0</v>
      </c>
      <c r="B27" s="23">
        <v>4.0</v>
      </c>
      <c r="C27" s="23">
        <v>1.0</v>
      </c>
      <c r="D27" s="23">
        <v>1.0</v>
      </c>
      <c r="E27" s="16"/>
      <c r="F27" s="23">
        <v>0.0</v>
      </c>
      <c r="G27" s="16"/>
      <c r="H27" s="23">
        <v>0.0</v>
      </c>
      <c r="I27" s="16"/>
      <c r="J27" s="23">
        <v>18.0</v>
      </c>
      <c r="M27" s="16">
        <v>24.0</v>
      </c>
      <c r="N27" s="23">
        <v>0.0</v>
      </c>
      <c r="O27" s="16"/>
      <c r="P27" s="23">
        <v>4.0</v>
      </c>
      <c r="Q27" s="16"/>
      <c r="R27" s="23">
        <v>1.0</v>
      </c>
      <c r="S27" s="16"/>
      <c r="T27" s="23">
        <v>0.0</v>
      </c>
      <c r="U27" s="16"/>
      <c r="V27" s="23">
        <v>10.0</v>
      </c>
      <c r="Y27" s="16">
        <v>24.0</v>
      </c>
      <c r="Z27" s="23">
        <v>0.0</v>
      </c>
      <c r="AA27" s="16"/>
      <c r="AB27" s="16"/>
      <c r="AC27" s="16"/>
      <c r="AD27" s="16"/>
      <c r="AE27" s="16"/>
      <c r="AF27" s="16"/>
      <c r="AG27" s="16"/>
      <c r="AH27" s="23">
        <v>9.0</v>
      </c>
    </row>
    <row r="28" ht="15.75" customHeight="1">
      <c r="A28" s="16">
        <v>25.0</v>
      </c>
      <c r="B28" s="23">
        <v>5.0</v>
      </c>
      <c r="C28" s="16"/>
      <c r="D28" s="23">
        <v>1.0</v>
      </c>
      <c r="E28" s="16"/>
      <c r="F28" s="23">
        <v>0.0</v>
      </c>
      <c r="G28" s="16"/>
      <c r="H28" s="23">
        <v>0.0</v>
      </c>
      <c r="I28" s="16"/>
      <c r="J28" s="23">
        <v>18.0</v>
      </c>
      <c r="M28" s="16">
        <v>25.0</v>
      </c>
      <c r="N28" s="23">
        <v>0.0</v>
      </c>
      <c r="O28" s="16"/>
      <c r="P28" s="23">
        <v>4.0</v>
      </c>
      <c r="Q28" s="16"/>
      <c r="R28" s="23">
        <v>1.0</v>
      </c>
      <c r="S28" s="16"/>
      <c r="T28" s="23">
        <v>0.0</v>
      </c>
      <c r="U28" s="16"/>
      <c r="V28" s="23">
        <v>10.0</v>
      </c>
      <c r="Y28" s="16">
        <v>25.0</v>
      </c>
      <c r="Z28" s="23">
        <v>0.0</v>
      </c>
      <c r="AA28" s="16"/>
      <c r="AB28" s="16"/>
      <c r="AC28" s="16"/>
      <c r="AD28" s="16"/>
      <c r="AE28" s="16"/>
      <c r="AF28" s="16"/>
      <c r="AG28" s="16"/>
      <c r="AH28" s="23">
        <v>5.0</v>
      </c>
    </row>
    <row r="29" ht="15.75" customHeight="1">
      <c r="A29" s="16">
        <v>26.0</v>
      </c>
      <c r="B29" s="23">
        <v>4.0</v>
      </c>
      <c r="C29" s="16"/>
      <c r="D29" s="23">
        <v>1.0</v>
      </c>
      <c r="E29" s="16"/>
      <c r="F29" s="23">
        <v>0.0</v>
      </c>
      <c r="G29" s="16"/>
      <c r="H29" s="23">
        <v>0.0</v>
      </c>
      <c r="I29" s="16"/>
      <c r="J29" s="23">
        <v>15.0</v>
      </c>
      <c r="M29" s="16">
        <v>26.0</v>
      </c>
      <c r="N29" s="23">
        <v>0.0</v>
      </c>
      <c r="O29" s="16"/>
      <c r="P29" s="23">
        <v>4.0</v>
      </c>
      <c r="Q29" s="16"/>
      <c r="R29" s="23">
        <v>1.0</v>
      </c>
      <c r="S29" s="16"/>
      <c r="T29" s="23">
        <v>0.0</v>
      </c>
      <c r="U29" s="16"/>
      <c r="V29" s="23">
        <v>10.0</v>
      </c>
      <c r="Y29" s="16">
        <v>26.0</v>
      </c>
      <c r="Z29" s="23">
        <v>0.0</v>
      </c>
      <c r="AA29" s="16"/>
      <c r="AB29" s="16"/>
      <c r="AC29" s="16"/>
      <c r="AD29" s="16"/>
      <c r="AE29" s="16"/>
      <c r="AF29" s="16"/>
      <c r="AG29" s="16"/>
      <c r="AH29" s="23">
        <v>5.0</v>
      </c>
    </row>
    <row r="30" ht="15.75" customHeight="1">
      <c r="A30" s="16">
        <v>27.0</v>
      </c>
      <c r="B30" s="23">
        <v>2.0</v>
      </c>
      <c r="C30" s="16"/>
      <c r="D30" s="23">
        <v>1.0</v>
      </c>
      <c r="E30" s="16"/>
      <c r="F30" s="23">
        <v>0.0</v>
      </c>
      <c r="G30" s="16"/>
      <c r="H30" s="23">
        <v>0.0</v>
      </c>
      <c r="I30" s="16"/>
      <c r="J30" s="23">
        <v>25.0</v>
      </c>
      <c r="M30" s="16">
        <v>27.0</v>
      </c>
      <c r="N30" s="23">
        <v>0.0</v>
      </c>
      <c r="O30" s="16"/>
      <c r="P30" s="23">
        <v>4.0</v>
      </c>
      <c r="Q30" s="16"/>
      <c r="R30" s="23">
        <v>1.0</v>
      </c>
      <c r="S30" s="16"/>
      <c r="T30" s="23">
        <v>0.0</v>
      </c>
      <c r="U30" s="16"/>
      <c r="V30" s="23">
        <v>11.0</v>
      </c>
      <c r="Y30" s="16">
        <v>27.0</v>
      </c>
      <c r="Z30" s="23">
        <v>0.0</v>
      </c>
      <c r="AA30" s="16"/>
      <c r="AB30" s="16"/>
      <c r="AC30" s="16"/>
      <c r="AD30" s="16"/>
      <c r="AE30" s="16"/>
      <c r="AF30" s="16"/>
      <c r="AG30" s="16"/>
      <c r="AH30" s="23">
        <v>6.0</v>
      </c>
    </row>
    <row r="31" ht="15.75" customHeight="1">
      <c r="A31" s="16">
        <v>28.0</v>
      </c>
      <c r="B31" s="23">
        <v>2.0</v>
      </c>
      <c r="C31" s="16"/>
      <c r="D31" s="23">
        <v>1.0</v>
      </c>
      <c r="E31" s="16"/>
      <c r="F31" s="23">
        <v>0.0</v>
      </c>
      <c r="G31" s="16"/>
      <c r="H31" s="23">
        <v>0.0</v>
      </c>
      <c r="I31" s="16"/>
      <c r="J31" s="23">
        <v>24.0</v>
      </c>
      <c r="M31" s="16">
        <v>28.0</v>
      </c>
      <c r="N31" s="23">
        <v>0.0</v>
      </c>
      <c r="O31" s="16"/>
      <c r="P31" s="23">
        <v>4.0</v>
      </c>
      <c r="Q31" s="23">
        <v>1.0</v>
      </c>
      <c r="R31" s="23">
        <v>1.0</v>
      </c>
      <c r="S31" s="16"/>
      <c r="T31" s="23">
        <v>0.0</v>
      </c>
      <c r="U31" s="16"/>
      <c r="V31" s="23">
        <v>11.0</v>
      </c>
      <c r="Y31" s="16">
        <v>28.0</v>
      </c>
      <c r="Z31" s="23">
        <v>0.0</v>
      </c>
      <c r="AA31" s="16"/>
      <c r="AB31" s="16"/>
      <c r="AC31" s="16"/>
      <c r="AD31" s="16"/>
      <c r="AE31" s="16"/>
      <c r="AF31" s="16"/>
      <c r="AG31" s="16"/>
      <c r="AH31" s="16"/>
    </row>
    <row r="32" ht="15.75" customHeight="1">
      <c r="A32" s="16">
        <v>29.0</v>
      </c>
      <c r="B32" s="23">
        <v>2.0</v>
      </c>
      <c r="C32" s="16"/>
      <c r="D32" s="23">
        <v>1.0</v>
      </c>
      <c r="E32" s="23">
        <v>1.0</v>
      </c>
      <c r="F32" s="23">
        <v>0.0</v>
      </c>
      <c r="G32" s="16"/>
      <c r="H32" s="23">
        <v>0.0</v>
      </c>
      <c r="I32" s="16"/>
      <c r="J32" s="16"/>
      <c r="M32" s="16">
        <v>29.0</v>
      </c>
      <c r="N32" s="23">
        <v>0.0</v>
      </c>
      <c r="O32" s="16"/>
      <c r="P32" s="23">
        <v>5.0</v>
      </c>
      <c r="Q32" s="23"/>
      <c r="R32" s="23">
        <v>1.0</v>
      </c>
      <c r="S32" s="16"/>
      <c r="T32" s="23">
        <v>0.0</v>
      </c>
      <c r="U32" s="16"/>
      <c r="V32" s="16"/>
      <c r="Y32" s="16">
        <v>29.0</v>
      </c>
      <c r="Z32" s="23">
        <v>0.0</v>
      </c>
      <c r="AA32" s="16"/>
      <c r="AB32" s="16"/>
      <c r="AC32" s="16"/>
      <c r="AD32" s="16"/>
      <c r="AE32" s="16"/>
      <c r="AF32" s="16"/>
      <c r="AG32" s="16"/>
      <c r="AH32" s="16"/>
    </row>
    <row r="33" ht="15.75" customHeight="1">
      <c r="A33" s="16">
        <v>30.0</v>
      </c>
      <c r="B33" s="23">
        <v>2.0</v>
      </c>
      <c r="C33" s="23"/>
      <c r="D33" s="23">
        <v>2.0</v>
      </c>
      <c r="E33" s="16"/>
      <c r="F33" s="23">
        <v>0.0</v>
      </c>
      <c r="G33" s="16"/>
      <c r="H33" s="23">
        <v>0.0</v>
      </c>
      <c r="I33" s="16"/>
      <c r="J33" s="16"/>
      <c r="M33" s="16">
        <v>30.0</v>
      </c>
      <c r="N33" s="23">
        <v>0.0</v>
      </c>
      <c r="O33" s="23">
        <v>1.0</v>
      </c>
      <c r="P33" s="23">
        <v>4.0</v>
      </c>
      <c r="Q33" s="23"/>
      <c r="R33" s="23">
        <v>1.0</v>
      </c>
      <c r="S33" s="16"/>
      <c r="T33" s="23">
        <v>0.0</v>
      </c>
      <c r="U33" s="16"/>
      <c r="V33" s="16"/>
      <c r="Y33" s="16">
        <v>30.0</v>
      </c>
      <c r="Z33" s="16"/>
      <c r="AA33" s="16"/>
      <c r="AB33" s="16"/>
      <c r="AC33" s="16"/>
      <c r="AD33" s="16"/>
      <c r="AE33" s="16"/>
      <c r="AF33" s="16"/>
      <c r="AG33" s="16"/>
      <c r="AH33" s="16"/>
    </row>
    <row r="34" ht="15.75" customHeight="1">
      <c r="A34" s="16">
        <v>31.0</v>
      </c>
      <c r="B34" s="10"/>
      <c r="C34" s="10"/>
      <c r="D34" s="10"/>
      <c r="E34" s="10"/>
      <c r="F34" s="10"/>
      <c r="G34" s="10"/>
      <c r="H34" s="10"/>
      <c r="I34" s="10"/>
      <c r="J34" s="10"/>
      <c r="M34" s="16">
        <v>31.0</v>
      </c>
      <c r="N34" s="10"/>
      <c r="O34" s="10"/>
      <c r="P34" s="10"/>
      <c r="Q34" s="10"/>
      <c r="R34" s="10"/>
      <c r="S34" s="10"/>
      <c r="T34" s="10"/>
      <c r="U34" s="10"/>
      <c r="V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I35" si="1">SUM(B4:B34)</f>
        <v>70</v>
      </c>
      <c r="C35" s="28">
        <f t="shared" si="1"/>
        <v>12</v>
      </c>
      <c r="D35" s="28">
        <f t="shared" si="1"/>
        <v>30</v>
      </c>
      <c r="E35" s="28">
        <f t="shared" si="1"/>
        <v>7</v>
      </c>
      <c r="F35" s="28">
        <f t="shared" si="1"/>
        <v>10</v>
      </c>
      <c r="G35" s="28">
        <f t="shared" si="1"/>
        <v>3</v>
      </c>
      <c r="H35" s="28">
        <f t="shared" si="1"/>
        <v>0</v>
      </c>
      <c r="I35" s="28">
        <f t="shared" si="1"/>
        <v>0</v>
      </c>
      <c r="J35" s="28">
        <f>SUM(J5:J34)</f>
        <v>511</v>
      </c>
      <c r="M35" s="28" t="s">
        <v>11</v>
      </c>
      <c r="N35" s="28">
        <f t="shared" ref="N35:V35" si="2">SUM(N4:N34)</f>
        <v>3</v>
      </c>
      <c r="O35" s="28">
        <f t="shared" si="2"/>
        <v>3</v>
      </c>
      <c r="P35" s="28">
        <f t="shared" si="2"/>
        <v>88</v>
      </c>
      <c r="Q35" s="28">
        <f t="shared" si="2"/>
        <v>6</v>
      </c>
      <c r="R35" s="28">
        <f t="shared" si="2"/>
        <v>59</v>
      </c>
      <c r="S35" s="28">
        <f t="shared" si="2"/>
        <v>3</v>
      </c>
      <c r="T35" s="28">
        <f t="shared" si="2"/>
        <v>0</v>
      </c>
      <c r="U35" s="28">
        <f t="shared" si="2"/>
        <v>0</v>
      </c>
      <c r="V35" s="28">
        <f t="shared" si="2"/>
        <v>274</v>
      </c>
      <c r="Y35" s="28" t="s">
        <v>11</v>
      </c>
      <c r="Z35" s="28">
        <f t="shared" ref="Z35:AH35" si="3">SUM(Z4:Z34)</f>
        <v>2</v>
      </c>
      <c r="AA35" s="28">
        <f t="shared" si="3"/>
        <v>1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185</v>
      </c>
    </row>
    <row r="36" ht="15.75" customHeight="1">
      <c r="A36" s="29" t="s">
        <v>12</v>
      </c>
      <c r="B36" s="28">
        <f t="shared" ref="B36:I36" si="4">(B35/$J$35)*1000</f>
        <v>136.9863014</v>
      </c>
      <c r="C36" s="28">
        <f t="shared" si="4"/>
        <v>23.48336595</v>
      </c>
      <c r="D36" s="28">
        <f t="shared" si="4"/>
        <v>58.70841487</v>
      </c>
      <c r="E36" s="28">
        <f t="shared" si="4"/>
        <v>13.69863014</v>
      </c>
      <c r="F36" s="28">
        <f t="shared" si="4"/>
        <v>19.56947162</v>
      </c>
      <c r="G36" s="28">
        <f t="shared" si="4"/>
        <v>5.870841487</v>
      </c>
      <c r="H36" s="28">
        <f t="shared" si="4"/>
        <v>0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1.094890511</v>
      </c>
      <c r="O36" s="28">
        <f t="shared" si="5"/>
        <v>1.094890511</v>
      </c>
      <c r="P36" s="28">
        <f t="shared" si="5"/>
        <v>32.11678832</v>
      </c>
      <c r="Q36" s="28">
        <f t="shared" si="5"/>
        <v>2.189781022</v>
      </c>
      <c r="R36" s="28">
        <f t="shared" si="5"/>
        <v>21.53284672</v>
      </c>
      <c r="S36" s="28">
        <f t="shared" si="5"/>
        <v>1.094890511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1.081081081</v>
      </c>
      <c r="AA36" s="28">
        <f t="shared" si="6"/>
        <v>0.5405405405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>
        <v>0.0</v>
      </c>
      <c r="B1" s="30" t="s">
        <v>19</v>
      </c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2.0</v>
      </c>
      <c r="C4" s="16"/>
      <c r="D4" s="23">
        <v>2.0</v>
      </c>
      <c r="E4" s="16"/>
      <c r="F4" s="23">
        <v>0.0</v>
      </c>
      <c r="G4" s="16"/>
      <c r="H4" s="23">
        <v>0.0</v>
      </c>
      <c r="I4" s="16"/>
      <c r="J4" s="23">
        <v>18.0</v>
      </c>
      <c r="M4" s="16">
        <v>1.0</v>
      </c>
      <c r="N4" s="23">
        <v>1.0</v>
      </c>
      <c r="O4" s="16"/>
      <c r="P4" s="23">
        <v>4.0</v>
      </c>
      <c r="Q4" s="16"/>
      <c r="R4" s="23">
        <v>1.0</v>
      </c>
      <c r="S4" s="16"/>
      <c r="T4" s="23">
        <v>0.0</v>
      </c>
      <c r="U4" s="16"/>
      <c r="V4" s="23">
        <v>9.0</v>
      </c>
      <c r="Y4" s="16">
        <v>1.0</v>
      </c>
      <c r="Z4" s="23">
        <v>0.0</v>
      </c>
      <c r="AA4" s="16"/>
      <c r="AB4" s="23">
        <v>0.0</v>
      </c>
      <c r="AC4" s="16"/>
      <c r="AD4" s="23">
        <v>0.0</v>
      </c>
      <c r="AE4" s="16"/>
      <c r="AF4" s="23">
        <v>0.0</v>
      </c>
      <c r="AG4" s="16"/>
      <c r="AH4" s="16"/>
    </row>
    <row r="5" ht="15.75" customHeight="1">
      <c r="A5" s="16">
        <v>2.0</v>
      </c>
      <c r="B5" s="23">
        <v>2.0</v>
      </c>
      <c r="C5" s="23">
        <v>1.0</v>
      </c>
      <c r="D5" s="23">
        <v>1.0</v>
      </c>
      <c r="E5" s="23">
        <v>1.0</v>
      </c>
      <c r="F5" s="23">
        <v>0.0</v>
      </c>
      <c r="G5" s="16"/>
      <c r="H5" s="23">
        <v>0.0</v>
      </c>
      <c r="I5" s="16"/>
      <c r="J5" s="23">
        <v>19.0</v>
      </c>
      <c r="M5" s="16">
        <v>2.0</v>
      </c>
      <c r="N5" s="23">
        <v>1.0</v>
      </c>
      <c r="O5" s="16"/>
      <c r="P5" s="23">
        <v>3.0</v>
      </c>
      <c r="Q5" s="16"/>
      <c r="R5" s="23">
        <v>1.0</v>
      </c>
      <c r="S5" s="16"/>
      <c r="T5" s="23">
        <v>0.0</v>
      </c>
      <c r="U5" s="16"/>
      <c r="V5" s="23">
        <v>10.0</v>
      </c>
      <c r="Y5" s="16">
        <v>2.0</v>
      </c>
      <c r="Z5" s="23">
        <v>0.0</v>
      </c>
      <c r="AA5" s="16"/>
      <c r="AB5" s="23">
        <v>0.0</v>
      </c>
      <c r="AC5" s="16"/>
      <c r="AD5" s="23">
        <v>0.0</v>
      </c>
      <c r="AE5" s="16"/>
      <c r="AF5" s="23">
        <v>0.0</v>
      </c>
      <c r="AG5" s="16"/>
      <c r="AH5" s="16"/>
    </row>
    <row r="6" ht="15.75" customHeight="1">
      <c r="A6" s="16">
        <v>3.0</v>
      </c>
      <c r="B6" s="23">
        <v>3.0</v>
      </c>
      <c r="C6" s="16"/>
      <c r="D6" s="23">
        <v>2.0</v>
      </c>
      <c r="E6" s="23"/>
      <c r="F6" s="23">
        <v>0.0</v>
      </c>
      <c r="G6" s="16"/>
      <c r="H6" s="23">
        <v>0.0</v>
      </c>
      <c r="I6" s="16"/>
      <c r="J6" s="23">
        <v>19.0</v>
      </c>
      <c r="M6" s="16">
        <v>3.0</v>
      </c>
      <c r="N6" s="23">
        <v>1.0</v>
      </c>
      <c r="O6" s="16"/>
      <c r="P6" s="23">
        <v>3.0</v>
      </c>
      <c r="Q6" s="16"/>
      <c r="R6" s="23">
        <v>1.0</v>
      </c>
      <c r="S6" s="16"/>
      <c r="T6" s="23">
        <v>0.0</v>
      </c>
      <c r="U6" s="16"/>
      <c r="V6" s="23">
        <v>9.0</v>
      </c>
      <c r="Y6" s="16">
        <v>3.0</v>
      </c>
      <c r="Z6" s="23">
        <v>0.0</v>
      </c>
      <c r="AA6" s="16"/>
      <c r="AB6" s="23">
        <v>0.0</v>
      </c>
      <c r="AC6" s="16"/>
      <c r="AD6" s="23">
        <v>0.0</v>
      </c>
      <c r="AE6" s="16"/>
      <c r="AF6" s="23">
        <v>0.0</v>
      </c>
      <c r="AG6" s="16"/>
      <c r="AH6" s="16"/>
    </row>
    <row r="7" ht="15.75" customHeight="1">
      <c r="A7" s="16">
        <v>4.0</v>
      </c>
      <c r="B7" s="23">
        <v>2.0</v>
      </c>
      <c r="C7" s="23">
        <v>1.0</v>
      </c>
      <c r="D7" s="23">
        <v>1.0</v>
      </c>
      <c r="E7" s="16"/>
      <c r="F7" s="23">
        <v>0.0</v>
      </c>
      <c r="G7" s="16"/>
      <c r="H7" s="23">
        <v>0.0</v>
      </c>
      <c r="I7" s="16"/>
      <c r="J7" s="23">
        <v>19.0</v>
      </c>
      <c r="M7" s="16">
        <v>4.0</v>
      </c>
      <c r="N7" s="23">
        <v>1.0</v>
      </c>
      <c r="O7" s="16"/>
      <c r="P7" s="23">
        <v>3.0</v>
      </c>
      <c r="Q7" s="16"/>
      <c r="R7" s="23">
        <v>1.0</v>
      </c>
      <c r="S7" s="16"/>
      <c r="T7" s="23">
        <v>0.0</v>
      </c>
      <c r="U7" s="16"/>
      <c r="V7" s="23">
        <v>10.0</v>
      </c>
      <c r="Y7" s="16">
        <v>4.0</v>
      </c>
      <c r="Z7" s="23">
        <v>0.0</v>
      </c>
      <c r="AA7" s="16"/>
      <c r="AB7" s="23">
        <v>0.0</v>
      </c>
      <c r="AC7" s="16"/>
      <c r="AD7" s="23">
        <v>0.0</v>
      </c>
      <c r="AE7" s="16"/>
      <c r="AF7" s="23">
        <v>0.0</v>
      </c>
      <c r="AG7" s="16"/>
      <c r="AH7" s="16"/>
    </row>
    <row r="8" ht="15.75" customHeight="1">
      <c r="A8" s="16">
        <v>5.0</v>
      </c>
      <c r="B8" s="23">
        <v>3.0</v>
      </c>
      <c r="C8" s="16"/>
      <c r="D8" s="37">
        <v>1.0</v>
      </c>
      <c r="E8" s="16"/>
      <c r="F8" s="23">
        <v>0.0</v>
      </c>
      <c r="G8" s="16"/>
      <c r="H8" s="23">
        <v>0.0</v>
      </c>
      <c r="I8" s="16"/>
      <c r="J8" s="23">
        <v>20.0</v>
      </c>
      <c r="M8" s="16">
        <v>5.0</v>
      </c>
      <c r="N8" s="23">
        <v>1.0</v>
      </c>
      <c r="O8" s="16"/>
      <c r="P8" s="23">
        <v>3.0</v>
      </c>
      <c r="Q8" s="16"/>
      <c r="R8" s="23">
        <v>1.0</v>
      </c>
      <c r="S8" s="16"/>
      <c r="T8" s="23">
        <v>0.0</v>
      </c>
      <c r="U8" s="16"/>
      <c r="V8" s="23">
        <v>10.0</v>
      </c>
      <c r="Y8" s="16">
        <v>5.0</v>
      </c>
      <c r="Z8" s="23">
        <v>0.0</v>
      </c>
      <c r="AA8" s="16"/>
      <c r="AB8" s="23">
        <v>0.0</v>
      </c>
      <c r="AC8" s="16"/>
      <c r="AD8" s="23">
        <v>0.0</v>
      </c>
      <c r="AE8" s="16"/>
      <c r="AF8" s="23">
        <v>0.0</v>
      </c>
      <c r="AG8" s="16"/>
      <c r="AH8" s="16"/>
    </row>
    <row r="9" ht="15.75" customHeight="1">
      <c r="A9" s="16">
        <v>6.0</v>
      </c>
      <c r="B9" s="23">
        <v>3.0</v>
      </c>
      <c r="C9" s="23">
        <v>2.0</v>
      </c>
      <c r="D9" s="23">
        <v>1.0</v>
      </c>
      <c r="E9" s="23">
        <v>1.0</v>
      </c>
      <c r="F9" s="23">
        <v>0.0</v>
      </c>
      <c r="G9" s="16"/>
      <c r="H9" s="23">
        <v>0.0</v>
      </c>
      <c r="I9" s="16"/>
      <c r="J9" s="23">
        <v>19.0</v>
      </c>
      <c r="M9" s="16">
        <v>6.0</v>
      </c>
      <c r="N9" s="23">
        <v>1.0</v>
      </c>
      <c r="O9" s="23">
        <v>1.0</v>
      </c>
      <c r="P9" s="23">
        <v>3.0</v>
      </c>
      <c r="Q9" s="16"/>
      <c r="R9" s="23">
        <v>1.0</v>
      </c>
      <c r="S9" s="23">
        <v>1.0</v>
      </c>
      <c r="T9" s="23">
        <v>0.0</v>
      </c>
      <c r="U9" s="16"/>
      <c r="V9" s="23">
        <v>8.0</v>
      </c>
      <c r="Y9" s="16">
        <v>6.0</v>
      </c>
      <c r="Z9" s="23">
        <v>0.0</v>
      </c>
      <c r="AA9" s="16"/>
      <c r="AB9" s="23">
        <v>0.0</v>
      </c>
      <c r="AC9" s="16"/>
      <c r="AD9" s="23">
        <v>0.0</v>
      </c>
      <c r="AE9" s="16"/>
      <c r="AF9" s="23">
        <v>0.0</v>
      </c>
      <c r="AG9" s="16"/>
      <c r="AH9" s="16"/>
    </row>
    <row r="10" ht="15.75" customHeight="1">
      <c r="A10" s="16">
        <v>7.0</v>
      </c>
      <c r="B10" s="23">
        <v>4.0</v>
      </c>
      <c r="C10" s="23">
        <v>1.0</v>
      </c>
      <c r="D10" s="23">
        <v>2.0</v>
      </c>
      <c r="E10" s="16"/>
      <c r="F10" s="23">
        <v>0.0</v>
      </c>
      <c r="G10" s="16"/>
      <c r="H10" s="23">
        <v>0.0</v>
      </c>
      <c r="I10" s="16"/>
      <c r="J10" s="23">
        <v>18.0</v>
      </c>
      <c r="M10" s="16">
        <v>7.0</v>
      </c>
      <c r="N10" s="23">
        <v>1.0</v>
      </c>
      <c r="O10" s="16"/>
      <c r="P10" s="23">
        <v>2.0</v>
      </c>
      <c r="Q10" s="23"/>
      <c r="R10" s="23">
        <v>1.0</v>
      </c>
      <c r="S10" s="16"/>
      <c r="T10" s="23">
        <v>0.0</v>
      </c>
      <c r="U10" s="16"/>
      <c r="V10" s="23">
        <v>10.0</v>
      </c>
      <c r="Y10" s="16">
        <v>7.0</v>
      </c>
      <c r="Z10" s="23">
        <v>0.0</v>
      </c>
      <c r="AA10" s="16"/>
      <c r="AB10" s="23">
        <v>0.0</v>
      </c>
      <c r="AC10" s="16"/>
      <c r="AD10" s="23">
        <v>0.0</v>
      </c>
      <c r="AE10" s="16"/>
      <c r="AF10" s="23">
        <v>0.0</v>
      </c>
      <c r="AG10" s="16"/>
      <c r="AH10" s="16"/>
    </row>
    <row r="11" ht="15.75" customHeight="1">
      <c r="A11" s="16">
        <v>8.0</v>
      </c>
      <c r="B11" s="23">
        <v>5.0</v>
      </c>
      <c r="C11" s="16"/>
      <c r="D11" s="23">
        <v>2.0</v>
      </c>
      <c r="E11" s="16"/>
      <c r="F11" s="23">
        <v>0.0</v>
      </c>
      <c r="G11" s="16"/>
      <c r="H11" s="23">
        <v>0.0</v>
      </c>
      <c r="I11" s="16"/>
      <c r="J11" s="23">
        <v>8.0</v>
      </c>
      <c r="M11" s="16">
        <v>8.0</v>
      </c>
      <c r="N11" s="23">
        <v>1.0</v>
      </c>
      <c r="O11" s="16"/>
      <c r="P11" s="23">
        <v>2.0</v>
      </c>
      <c r="Q11" s="16"/>
      <c r="R11" s="23">
        <v>1.0</v>
      </c>
      <c r="S11" s="16"/>
      <c r="T11" s="23">
        <v>0.0</v>
      </c>
      <c r="U11" s="16"/>
      <c r="V11" s="23">
        <v>10.0</v>
      </c>
      <c r="Y11" s="16">
        <v>8.0</v>
      </c>
      <c r="Z11" s="23">
        <v>0.0</v>
      </c>
      <c r="AA11" s="16"/>
      <c r="AB11" s="23">
        <v>0.0</v>
      </c>
      <c r="AC11" s="16"/>
      <c r="AD11" s="23">
        <v>0.0</v>
      </c>
      <c r="AE11" s="16"/>
      <c r="AF11" s="23">
        <v>0.0</v>
      </c>
      <c r="AG11" s="16"/>
      <c r="AH11" s="16"/>
    </row>
    <row r="12" ht="15.75" customHeight="1">
      <c r="A12" s="16">
        <v>9.0</v>
      </c>
      <c r="B12" s="23">
        <v>4.0</v>
      </c>
      <c r="C12" s="16"/>
      <c r="D12" s="23">
        <v>2.0</v>
      </c>
      <c r="E12" s="16"/>
      <c r="F12" s="23">
        <v>0.0</v>
      </c>
      <c r="G12" s="16"/>
      <c r="H12" s="23">
        <v>0.0</v>
      </c>
      <c r="I12" s="16"/>
      <c r="J12" s="23">
        <v>16.0</v>
      </c>
      <c r="M12" s="16">
        <v>9.0</v>
      </c>
      <c r="N12" s="23">
        <v>1.0</v>
      </c>
      <c r="O12" s="23"/>
      <c r="P12" s="23">
        <v>2.0</v>
      </c>
      <c r="Q12" s="16"/>
      <c r="R12" s="23">
        <v>1.0</v>
      </c>
      <c r="S12" s="16"/>
      <c r="T12" s="23">
        <v>0.0</v>
      </c>
      <c r="U12" s="16"/>
      <c r="V12" s="23">
        <v>8.0</v>
      </c>
      <c r="Y12" s="16">
        <v>9.0</v>
      </c>
      <c r="Z12" s="23">
        <v>0.0</v>
      </c>
      <c r="AA12" s="23">
        <v>1.0</v>
      </c>
      <c r="AB12" s="23">
        <v>0.0</v>
      </c>
      <c r="AC12" s="16"/>
      <c r="AD12" s="23">
        <v>0.0</v>
      </c>
      <c r="AE12" s="16"/>
      <c r="AF12" s="23">
        <v>0.0</v>
      </c>
      <c r="AG12" s="16"/>
      <c r="AH12" s="16"/>
    </row>
    <row r="13" ht="15.75" customHeight="1">
      <c r="A13" s="16">
        <v>10.0</v>
      </c>
      <c r="B13" s="23">
        <v>4.0</v>
      </c>
      <c r="C13" s="16"/>
      <c r="D13" s="23">
        <v>1.0</v>
      </c>
      <c r="E13" s="23">
        <v>1.0</v>
      </c>
      <c r="F13" s="23">
        <v>0.0</v>
      </c>
      <c r="G13" s="16"/>
      <c r="H13" s="23">
        <v>0.0</v>
      </c>
      <c r="I13" s="16"/>
      <c r="J13" s="23">
        <v>8.0</v>
      </c>
      <c r="M13" s="16">
        <v>10.0</v>
      </c>
      <c r="N13" s="23">
        <v>0.0</v>
      </c>
      <c r="O13" s="16"/>
      <c r="P13" s="23">
        <v>2.0</v>
      </c>
      <c r="Q13" s="16"/>
      <c r="R13" s="23">
        <v>1.0</v>
      </c>
      <c r="S13" s="16"/>
      <c r="T13" s="23">
        <v>0.0</v>
      </c>
      <c r="U13" s="16"/>
      <c r="V13" s="23">
        <v>9.0</v>
      </c>
      <c r="Y13" s="16">
        <v>10.0</v>
      </c>
      <c r="Z13" s="23">
        <v>1.0</v>
      </c>
      <c r="AA13" s="23">
        <v>1.0</v>
      </c>
      <c r="AB13" s="23">
        <v>0.0</v>
      </c>
      <c r="AC13" s="16"/>
      <c r="AD13" s="23">
        <v>0.0</v>
      </c>
      <c r="AE13" s="16"/>
      <c r="AF13" s="23">
        <v>0.0</v>
      </c>
      <c r="AG13" s="16"/>
      <c r="AH13" s="16"/>
    </row>
    <row r="14" ht="15.75" customHeight="1">
      <c r="A14" s="16">
        <v>11.0</v>
      </c>
      <c r="B14" s="23">
        <v>3.0</v>
      </c>
      <c r="C14" s="16"/>
      <c r="D14" s="23">
        <v>1.0</v>
      </c>
      <c r="E14" s="16"/>
      <c r="F14" s="23">
        <v>0.0</v>
      </c>
      <c r="G14" s="16"/>
      <c r="H14" s="23">
        <v>0.0</v>
      </c>
      <c r="I14" s="16"/>
      <c r="J14" s="23">
        <v>17.0</v>
      </c>
      <c r="M14" s="16">
        <v>11.0</v>
      </c>
      <c r="N14" s="23">
        <v>0.0</v>
      </c>
      <c r="O14" s="16"/>
      <c r="P14" s="23">
        <v>1.0</v>
      </c>
      <c r="Q14" s="16"/>
      <c r="R14" s="23">
        <v>0.0</v>
      </c>
      <c r="S14" s="16"/>
      <c r="T14" s="23">
        <v>0.0</v>
      </c>
      <c r="U14" s="16"/>
      <c r="V14" s="23">
        <v>8.0</v>
      </c>
      <c r="Y14" s="16">
        <v>11.0</v>
      </c>
      <c r="Z14" s="23">
        <v>1.0</v>
      </c>
      <c r="AA14" s="16"/>
      <c r="AB14" s="23">
        <v>0.0</v>
      </c>
      <c r="AC14" s="16"/>
      <c r="AD14" s="23">
        <v>0.0</v>
      </c>
      <c r="AE14" s="16"/>
      <c r="AF14" s="23">
        <v>0.0</v>
      </c>
      <c r="AG14" s="16"/>
      <c r="AH14" s="16"/>
    </row>
    <row r="15" ht="15.75" customHeight="1">
      <c r="A15" s="16">
        <v>12.0</v>
      </c>
      <c r="B15" s="23">
        <v>3.0</v>
      </c>
      <c r="C15" s="16"/>
      <c r="D15" s="37">
        <v>1.0</v>
      </c>
      <c r="E15" s="16"/>
      <c r="F15" s="23">
        <v>0.0</v>
      </c>
      <c r="G15" s="16"/>
      <c r="H15" s="23">
        <v>0.0</v>
      </c>
      <c r="I15" s="16"/>
      <c r="J15" s="23">
        <v>16.0</v>
      </c>
      <c r="M15" s="16">
        <v>12.0</v>
      </c>
      <c r="N15" s="23">
        <v>0.0</v>
      </c>
      <c r="O15" s="23">
        <v>1.0</v>
      </c>
      <c r="P15" s="23">
        <v>1.0</v>
      </c>
      <c r="Q15" s="23">
        <v>1.0</v>
      </c>
      <c r="R15" s="23">
        <v>0.0</v>
      </c>
      <c r="S15" s="23">
        <v>1.0</v>
      </c>
      <c r="T15" s="23">
        <v>0.0</v>
      </c>
      <c r="U15" s="16"/>
      <c r="V15" s="23">
        <v>8.0</v>
      </c>
      <c r="Y15" s="16">
        <v>12.0</v>
      </c>
      <c r="Z15" s="23">
        <v>1.0</v>
      </c>
      <c r="AA15" s="16"/>
      <c r="AB15" s="23">
        <v>0.0</v>
      </c>
      <c r="AC15" s="16"/>
      <c r="AD15" s="23">
        <v>0.0</v>
      </c>
      <c r="AE15" s="16"/>
      <c r="AF15" s="23">
        <v>0.0</v>
      </c>
      <c r="AG15" s="16"/>
      <c r="AH15" s="16"/>
    </row>
    <row r="16" ht="15.75" customHeight="1">
      <c r="A16" s="16">
        <v>13.0</v>
      </c>
      <c r="B16" s="23">
        <v>3.0</v>
      </c>
      <c r="C16" s="23">
        <v>2.0</v>
      </c>
      <c r="D16" s="23">
        <v>1.0</v>
      </c>
      <c r="E16" s="23">
        <v>1.0</v>
      </c>
      <c r="F16" s="23">
        <v>0.0</v>
      </c>
      <c r="G16" s="16"/>
      <c r="H16" s="23">
        <v>0.0</v>
      </c>
      <c r="I16" s="16"/>
      <c r="J16" s="23">
        <v>18.0</v>
      </c>
      <c r="M16" s="16">
        <v>13.0</v>
      </c>
      <c r="N16" s="23">
        <v>1.0</v>
      </c>
      <c r="O16" s="16"/>
      <c r="P16" s="23">
        <v>2.0</v>
      </c>
      <c r="Q16" s="23">
        <v>1.0</v>
      </c>
      <c r="R16" s="23">
        <v>1.0</v>
      </c>
      <c r="S16" s="23">
        <v>2.0</v>
      </c>
      <c r="T16" s="23">
        <v>0.0</v>
      </c>
      <c r="U16" s="16"/>
      <c r="V16" s="23">
        <v>10.0</v>
      </c>
      <c r="Y16" s="16">
        <v>13.0</v>
      </c>
      <c r="Z16" s="23">
        <v>1.0</v>
      </c>
      <c r="AA16" s="16"/>
      <c r="AB16" s="23">
        <v>0.0</v>
      </c>
      <c r="AC16" s="16"/>
      <c r="AD16" s="23">
        <v>0.0</v>
      </c>
      <c r="AE16" s="16"/>
      <c r="AF16" s="23">
        <v>0.0</v>
      </c>
      <c r="AG16" s="16"/>
      <c r="AH16" s="16"/>
    </row>
    <row r="17" ht="15.75" customHeight="1">
      <c r="A17" s="16">
        <v>14.0</v>
      </c>
      <c r="B17" s="23">
        <v>5.0</v>
      </c>
      <c r="C17" s="16"/>
      <c r="D17" s="23">
        <v>2.0</v>
      </c>
      <c r="E17" s="16"/>
      <c r="F17" s="23">
        <v>0.0</v>
      </c>
      <c r="G17" s="16"/>
      <c r="H17" s="23">
        <v>0.0</v>
      </c>
      <c r="I17" s="16"/>
      <c r="J17" s="23">
        <v>19.0</v>
      </c>
      <c r="M17" s="16">
        <v>14.0</v>
      </c>
      <c r="N17" s="23">
        <v>1.0</v>
      </c>
      <c r="O17" s="23">
        <v>1.0</v>
      </c>
      <c r="P17" s="23">
        <v>2.0</v>
      </c>
      <c r="Q17" s="16"/>
      <c r="R17" s="23">
        <v>3.0</v>
      </c>
      <c r="S17" s="16"/>
      <c r="T17" s="23">
        <v>0.0</v>
      </c>
      <c r="U17" s="16"/>
      <c r="V17" s="23">
        <v>8.0</v>
      </c>
      <c r="Y17" s="16">
        <v>14.0</v>
      </c>
      <c r="Z17" s="23">
        <v>1.0</v>
      </c>
      <c r="AA17" s="16"/>
      <c r="AB17" s="23">
        <v>0.0</v>
      </c>
      <c r="AC17" s="16"/>
      <c r="AD17" s="23">
        <v>0.0</v>
      </c>
      <c r="AE17" s="16"/>
      <c r="AF17" s="23">
        <v>0.0</v>
      </c>
      <c r="AG17" s="16"/>
      <c r="AH17" s="16"/>
    </row>
    <row r="18" ht="15.75" customHeight="1">
      <c r="A18" s="16">
        <v>15.0</v>
      </c>
      <c r="B18" s="23">
        <v>4.0</v>
      </c>
      <c r="C18" s="23">
        <v>1.0</v>
      </c>
      <c r="D18" s="23">
        <v>2.0</v>
      </c>
      <c r="E18" s="16"/>
      <c r="F18" s="23">
        <v>0.0</v>
      </c>
      <c r="G18" s="16"/>
      <c r="H18" s="23">
        <v>0.0</v>
      </c>
      <c r="I18" s="16"/>
      <c r="J18" s="23">
        <v>20.0</v>
      </c>
      <c r="M18" s="16">
        <v>15.0</v>
      </c>
      <c r="N18" s="23">
        <v>2.0</v>
      </c>
      <c r="O18" s="16"/>
      <c r="P18" s="23">
        <v>2.0</v>
      </c>
      <c r="Q18" s="23"/>
      <c r="R18" s="23">
        <v>3.0</v>
      </c>
      <c r="S18" s="23"/>
      <c r="T18" s="23">
        <v>0.0</v>
      </c>
      <c r="U18" s="16"/>
      <c r="V18" s="23">
        <v>9.0</v>
      </c>
      <c r="Y18" s="16">
        <v>15.0</v>
      </c>
      <c r="Z18" s="23">
        <v>1.0</v>
      </c>
      <c r="AA18" s="23"/>
      <c r="AB18" s="23">
        <v>0.0</v>
      </c>
      <c r="AC18" s="16"/>
      <c r="AD18" s="23">
        <v>0.0</v>
      </c>
      <c r="AE18" s="16"/>
      <c r="AF18" s="23">
        <v>0.0</v>
      </c>
      <c r="AG18" s="16"/>
      <c r="AH18" s="23">
        <v>7.0</v>
      </c>
    </row>
    <row r="19" ht="15.75" customHeight="1">
      <c r="A19" s="16">
        <v>16.0</v>
      </c>
      <c r="B19" s="23">
        <v>5.0</v>
      </c>
      <c r="C19" s="23">
        <v>2.0</v>
      </c>
      <c r="D19" s="23">
        <v>2.0</v>
      </c>
      <c r="E19" s="16"/>
      <c r="F19" s="23">
        <v>0.0</v>
      </c>
      <c r="G19" s="23">
        <v>1.0</v>
      </c>
      <c r="H19" s="23">
        <v>0.0</v>
      </c>
      <c r="I19" s="16"/>
      <c r="J19" s="23">
        <v>20.0</v>
      </c>
      <c r="M19" s="16">
        <v>16.0</v>
      </c>
      <c r="N19" s="23">
        <v>1.0</v>
      </c>
      <c r="O19" s="16"/>
      <c r="P19" s="23">
        <v>2.0</v>
      </c>
      <c r="Q19" s="16"/>
      <c r="R19" s="23">
        <v>3.0</v>
      </c>
      <c r="S19" s="16"/>
      <c r="T19" s="23">
        <v>0.0</v>
      </c>
      <c r="U19" s="16"/>
      <c r="V19" s="23">
        <v>8.0</v>
      </c>
      <c r="Y19" s="16">
        <v>16.0</v>
      </c>
      <c r="Z19" s="23">
        <v>1.0</v>
      </c>
      <c r="AA19" s="16"/>
      <c r="AB19" s="23">
        <v>0.0</v>
      </c>
      <c r="AC19" s="16"/>
      <c r="AD19" s="23">
        <v>0.0</v>
      </c>
      <c r="AE19" s="16"/>
      <c r="AF19" s="23">
        <v>0.0</v>
      </c>
      <c r="AG19" s="16"/>
      <c r="AH19" s="16"/>
    </row>
    <row r="20" ht="15.75" customHeight="1">
      <c r="A20" s="16">
        <v>17.0</v>
      </c>
      <c r="B20" s="23">
        <v>5.0</v>
      </c>
      <c r="C20" s="16"/>
      <c r="D20" s="23">
        <v>1.0</v>
      </c>
      <c r="E20" s="23">
        <v>1.0</v>
      </c>
      <c r="F20" s="23">
        <v>2.0</v>
      </c>
      <c r="G20" s="23">
        <v>1.0</v>
      </c>
      <c r="H20" s="23">
        <v>0.0</v>
      </c>
      <c r="I20" s="16"/>
      <c r="J20" s="23">
        <v>19.0</v>
      </c>
      <c r="M20" s="16">
        <v>17.0</v>
      </c>
      <c r="N20" s="23">
        <v>1.0</v>
      </c>
      <c r="O20" s="16"/>
      <c r="P20" s="23">
        <v>2.0</v>
      </c>
      <c r="Q20" s="16"/>
      <c r="R20" s="23">
        <v>3.0</v>
      </c>
      <c r="S20" s="16"/>
      <c r="T20" s="23">
        <v>0.0</v>
      </c>
      <c r="U20" s="16"/>
      <c r="V20" s="23">
        <v>9.0</v>
      </c>
      <c r="Y20" s="16">
        <v>17.0</v>
      </c>
      <c r="Z20" s="23">
        <v>1.0</v>
      </c>
      <c r="AA20" s="16"/>
      <c r="AB20" s="23">
        <v>0.0</v>
      </c>
      <c r="AC20" s="16"/>
      <c r="AD20" s="23">
        <v>0.0</v>
      </c>
      <c r="AE20" s="16"/>
      <c r="AF20" s="23">
        <v>0.0</v>
      </c>
      <c r="AG20" s="16"/>
      <c r="AH20" s="16"/>
    </row>
    <row r="21" ht="15.75" customHeight="1">
      <c r="A21" s="16">
        <v>18.0</v>
      </c>
      <c r="B21" s="23">
        <v>5.0</v>
      </c>
      <c r="C21" s="16"/>
      <c r="D21" s="23">
        <v>2.0</v>
      </c>
      <c r="E21" s="16"/>
      <c r="F21" s="23">
        <v>3.0</v>
      </c>
      <c r="G21" s="16"/>
      <c r="H21" s="23">
        <v>0.0</v>
      </c>
      <c r="I21" s="16"/>
      <c r="J21" s="23">
        <v>17.0</v>
      </c>
      <c r="M21" s="16">
        <v>18.0</v>
      </c>
      <c r="N21" s="23">
        <v>0.0</v>
      </c>
      <c r="O21" s="16"/>
      <c r="P21" s="23">
        <v>0.0</v>
      </c>
      <c r="Q21" s="16"/>
      <c r="R21" s="23">
        <v>1.0</v>
      </c>
      <c r="S21" s="16"/>
      <c r="T21" s="23">
        <v>0.0</v>
      </c>
      <c r="U21" s="16"/>
      <c r="V21" s="23">
        <v>7.0</v>
      </c>
      <c r="Y21" s="16">
        <v>18.0</v>
      </c>
      <c r="Z21" s="23">
        <v>1.0</v>
      </c>
      <c r="AA21" s="16"/>
      <c r="AB21" s="23">
        <v>0.0</v>
      </c>
      <c r="AC21" s="16"/>
      <c r="AD21" s="23">
        <v>0.0</v>
      </c>
      <c r="AE21" s="16"/>
      <c r="AF21" s="23">
        <v>0.0</v>
      </c>
      <c r="AG21" s="16"/>
      <c r="AH21" s="16"/>
    </row>
    <row r="22" ht="15.75" customHeight="1">
      <c r="A22" s="16">
        <v>19.0</v>
      </c>
      <c r="B22" s="23">
        <v>4.0</v>
      </c>
      <c r="C22" s="16"/>
      <c r="D22" s="23">
        <v>2.0</v>
      </c>
      <c r="E22" s="16"/>
      <c r="F22" s="23">
        <v>2.0</v>
      </c>
      <c r="G22" s="16"/>
      <c r="H22" s="23">
        <v>0.0</v>
      </c>
      <c r="I22" s="16"/>
      <c r="J22" s="23">
        <v>18.0</v>
      </c>
      <c r="M22" s="16">
        <v>19.0</v>
      </c>
      <c r="N22" s="23">
        <v>0.0</v>
      </c>
      <c r="O22" s="16"/>
      <c r="P22" s="23">
        <v>0.0</v>
      </c>
      <c r="Q22" s="23">
        <v>1.0</v>
      </c>
      <c r="R22" s="23">
        <v>1.0</v>
      </c>
      <c r="S22" s="16"/>
      <c r="T22" s="23">
        <v>0.0</v>
      </c>
      <c r="U22" s="16"/>
      <c r="V22" s="23">
        <v>7.0</v>
      </c>
      <c r="Y22" s="16">
        <v>19.0</v>
      </c>
      <c r="Z22" s="23">
        <v>1.0</v>
      </c>
      <c r="AA22" s="16"/>
      <c r="AB22" s="23">
        <v>0.0</v>
      </c>
      <c r="AC22" s="16"/>
      <c r="AD22" s="23">
        <v>0.0</v>
      </c>
      <c r="AE22" s="16"/>
      <c r="AF22" s="23">
        <v>0.0</v>
      </c>
      <c r="AG22" s="16"/>
      <c r="AH22" s="16"/>
    </row>
    <row r="23" ht="15.75" customHeight="1">
      <c r="A23" s="16">
        <v>20.0</v>
      </c>
      <c r="B23" s="23">
        <v>4.0</v>
      </c>
      <c r="C23" s="23">
        <v>2.0</v>
      </c>
      <c r="D23" s="23">
        <v>2.0</v>
      </c>
      <c r="E23" s="23">
        <v>1.0</v>
      </c>
      <c r="F23" s="23">
        <v>2.0</v>
      </c>
      <c r="G23" s="16"/>
      <c r="H23" s="23">
        <v>0.0</v>
      </c>
      <c r="I23" s="16"/>
      <c r="J23" s="23">
        <v>20.0</v>
      </c>
      <c r="M23" s="16">
        <v>20.0</v>
      </c>
      <c r="N23" s="23">
        <v>0.0</v>
      </c>
      <c r="O23" s="23">
        <v>1.0</v>
      </c>
      <c r="P23" s="23">
        <v>2.0</v>
      </c>
      <c r="Q23" s="23"/>
      <c r="R23" s="23">
        <v>2.0</v>
      </c>
      <c r="S23" s="16"/>
      <c r="T23" s="23">
        <v>0.0</v>
      </c>
      <c r="U23" s="16"/>
      <c r="V23" s="23">
        <v>10.0</v>
      </c>
      <c r="Y23" s="16">
        <v>20.0</v>
      </c>
      <c r="Z23" s="23">
        <v>1.0</v>
      </c>
      <c r="AA23" s="16"/>
      <c r="AB23" s="23">
        <v>0.0</v>
      </c>
      <c r="AC23" s="16"/>
      <c r="AD23" s="23">
        <v>0.0</v>
      </c>
      <c r="AE23" s="16"/>
      <c r="AF23" s="23">
        <v>0.0</v>
      </c>
      <c r="AG23" s="16"/>
      <c r="AH23" s="16"/>
    </row>
    <row r="24" ht="15.75" customHeight="1">
      <c r="A24" s="16">
        <v>21.0</v>
      </c>
      <c r="B24" s="23">
        <v>6.0</v>
      </c>
      <c r="C24" s="16"/>
      <c r="D24" s="23">
        <v>2.0</v>
      </c>
      <c r="E24" s="16"/>
      <c r="F24" s="23">
        <v>1.0</v>
      </c>
      <c r="G24" s="16"/>
      <c r="H24" s="23">
        <v>0.0</v>
      </c>
      <c r="I24" s="16"/>
      <c r="J24" s="23">
        <v>20.0</v>
      </c>
      <c r="M24" s="16">
        <v>21.0</v>
      </c>
      <c r="N24" s="23">
        <v>1.0</v>
      </c>
      <c r="O24" s="16"/>
      <c r="P24" s="23">
        <v>2.0</v>
      </c>
      <c r="Q24" s="23">
        <v>1.0</v>
      </c>
      <c r="R24" s="23">
        <v>2.0</v>
      </c>
      <c r="S24" s="16"/>
      <c r="T24" s="23">
        <v>0.0</v>
      </c>
      <c r="U24" s="16"/>
      <c r="V24" s="23">
        <v>10.0</v>
      </c>
      <c r="Y24" s="16">
        <v>21.0</v>
      </c>
      <c r="Z24" s="23">
        <v>1.0</v>
      </c>
      <c r="AA24" s="16"/>
      <c r="AB24" s="23">
        <v>0.0</v>
      </c>
      <c r="AC24" s="16"/>
      <c r="AD24" s="23">
        <v>0.0</v>
      </c>
      <c r="AE24" s="16"/>
      <c r="AF24" s="23">
        <v>0.0</v>
      </c>
      <c r="AG24" s="16"/>
      <c r="AH24" s="16"/>
    </row>
    <row r="25" ht="15.75" customHeight="1">
      <c r="A25" s="16">
        <v>22.0</v>
      </c>
      <c r="B25" s="23">
        <v>6.0</v>
      </c>
      <c r="C25" s="16"/>
      <c r="D25" s="23">
        <v>1.0</v>
      </c>
      <c r="E25" s="16"/>
      <c r="F25" s="23">
        <v>1.0</v>
      </c>
      <c r="G25" s="16"/>
      <c r="H25" s="23">
        <v>0.0</v>
      </c>
      <c r="I25" s="16"/>
      <c r="J25" s="23">
        <v>20.0</v>
      </c>
      <c r="M25" s="16">
        <v>22.0</v>
      </c>
      <c r="N25" s="23">
        <v>1.0</v>
      </c>
      <c r="O25" s="16"/>
      <c r="P25" s="23">
        <v>3.0</v>
      </c>
      <c r="Q25" s="16"/>
      <c r="R25" s="23">
        <v>2.0</v>
      </c>
      <c r="S25" s="16"/>
      <c r="T25" s="23">
        <v>0.0</v>
      </c>
      <c r="U25" s="16"/>
      <c r="V25" s="23">
        <v>8.0</v>
      </c>
      <c r="Y25" s="16">
        <v>22.0</v>
      </c>
      <c r="Z25" s="23">
        <v>1.0</v>
      </c>
      <c r="AA25" s="16"/>
      <c r="AB25" s="23">
        <v>0.0</v>
      </c>
      <c r="AC25" s="16"/>
      <c r="AD25" s="23">
        <v>0.0</v>
      </c>
      <c r="AE25" s="16"/>
      <c r="AF25" s="23">
        <v>0.0</v>
      </c>
      <c r="AG25" s="16"/>
      <c r="AH25" s="16"/>
    </row>
    <row r="26" ht="15.75" customHeight="1">
      <c r="A26" s="16">
        <v>23.0</v>
      </c>
      <c r="B26" s="23">
        <v>6.0</v>
      </c>
      <c r="C26" s="23"/>
      <c r="D26" s="23">
        <v>1.0</v>
      </c>
      <c r="E26" s="16"/>
      <c r="F26" s="23">
        <v>1.0</v>
      </c>
      <c r="G26" s="16"/>
      <c r="H26" s="23">
        <v>0.0</v>
      </c>
      <c r="I26" s="16"/>
      <c r="J26" s="23">
        <v>10.0</v>
      </c>
      <c r="M26" s="16">
        <v>23.0</v>
      </c>
      <c r="N26" s="23">
        <v>1.0</v>
      </c>
      <c r="O26" s="16"/>
      <c r="P26" s="23">
        <v>3.0</v>
      </c>
      <c r="Q26" s="16"/>
      <c r="R26" s="23">
        <v>2.0</v>
      </c>
      <c r="S26" s="16"/>
      <c r="T26" s="23">
        <v>0.0</v>
      </c>
      <c r="U26" s="16"/>
      <c r="V26" s="23">
        <v>10.0</v>
      </c>
      <c r="Y26" s="16">
        <v>23.0</v>
      </c>
      <c r="Z26" s="23">
        <v>1.0</v>
      </c>
      <c r="AA26" s="16"/>
      <c r="AB26" s="23">
        <v>0.0</v>
      </c>
      <c r="AC26" s="16"/>
      <c r="AD26" s="23">
        <v>0.0</v>
      </c>
      <c r="AE26" s="16"/>
      <c r="AF26" s="23">
        <v>0.0</v>
      </c>
      <c r="AG26" s="16"/>
      <c r="AH26" s="16"/>
    </row>
    <row r="27" ht="15.75" customHeight="1">
      <c r="A27" s="16">
        <v>24.0</v>
      </c>
      <c r="B27" s="23">
        <v>6.0</v>
      </c>
      <c r="C27" s="23"/>
      <c r="D27" s="23">
        <v>1.0</v>
      </c>
      <c r="E27" s="16"/>
      <c r="F27" s="23">
        <v>1.0</v>
      </c>
      <c r="G27" s="16"/>
      <c r="H27" s="23">
        <v>0.0</v>
      </c>
      <c r="I27" s="16"/>
      <c r="J27" s="23">
        <v>18.0</v>
      </c>
      <c r="M27" s="16">
        <v>24.0</v>
      </c>
      <c r="N27" s="23">
        <v>1.0</v>
      </c>
      <c r="O27" s="16"/>
      <c r="P27" s="23">
        <v>3.0</v>
      </c>
      <c r="Q27" s="23"/>
      <c r="R27" s="23">
        <v>2.0</v>
      </c>
      <c r="S27" s="16"/>
      <c r="T27" s="23">
        <v>0.0</v>
      </c>
      <c r="U27" s="16"/>
      <c r="V27" s="23">
        <v>10.0</v>
      </c>
      <c r="Y27" s="16">
        <v>24.0</v>
      </c>
      <c r="Z27" s="23">
        <v>1.0</v>
      </c>
      <c r="AA27" s="16"/>
      <c r="AB27" s="23">
        <v>0.0</v>
      </c>
      <c r="AC27" s="16"/>
      <c r="AD27" s="23">
        <v>0.0</v>
      </c>
      <c r="AE27" s="16"/>
      <c r="AF27" s="23">
        <v>0.0</v>
      </c>
      <c r="AG27" s="16"/>
      <c r="AH27" s="16"/>
    </row>
    <row r="28" ht="15.75" customHeight="1">
      <c r="A28" s="16">
        <v>25.0</v>
      </c>
      <c r="B28" s="23">
        <v>6.0</v>
      </c>
      <c r="C28" s="16"/>
      <c r="D28" s="23">
        <v>1.0</v>
      </c>
      <c r="E28" s="16"/>
      <c r="F28" s="23">
        <v>1.0</v>
      </c>
      <c r="G28" s="23">
        <v>1.0</v>
      </c>
      <c r="H28" s="23">
        <v>0.0</v>
      </c>
      <c r="I28" s="16"/>
      <c r="J28" s="23">
        <v>8.0</v>
      </c>
      <c r="M28" s="16">
        <v>25.0</v>
      </c>
      <c r="N28" s="23">
        <v>1.0</v>
      </c>
      <c r="O28" s="16"/>
      <c r="P28" s="23">
        <v>3.0</v>
      </c>
      <c r="Q28" s="16"/>
      <c r="R28" s="23">
        <v>2.0</v>
      </c>
      <c r="S28" s="16"/>
      <c r="T28" s="23">
        <v>0.0</v>
      </c>
      <c r="U28" s="16"/>
      <c r="V28" s="23">
        <v>10.0</v>
      </c>
      <c r="Y28" s="16">
        <v>25.0</v>
      </c>
      <c r="Z28" s="23">
        <v>1.0</v>
      </c>
      <c r="AA28" s="16"/>
      <c r="AB28" s="23">
        <v>0.0</v>
      </c>
      <c r="AC28" s="16"/>
      <c r="AD28" s="23">
        <v>0.0</v>
      </c>
      <c r="AE28" s="16"/>
      <c r="AF28" s="23">
        <v>0.0</v>
      </c>
      <c r="AG28" s="16"/>
      <c r="AH28" s="16"/>
    </row>
    <row r="29" ht="15.75" customHeight="1">
      <c r="A29" s="16">
        <v>26.0</v>
      </c>
      <c r="B29" s="23">
        <v>5.0</v>
      </c>
      <c r="C29" s="16"/>
      <c r="D29" s="23">
        <v>1.0</v>
      </c>
      <c r="E29" s="23">
        <v>1.0</v>
      </c>
      <c r="F29" s="23">
        <v>3.0</v>
      </c>
      <c r="G29" s="16"/>
      <c r="H29" s="23">
        <v>0.0</v>
      </c>
      <c r="I29" s="16"/>
      <c r="J29" s="23">
        <v>19.0</v>
      </c>
      <c r="M29" s="16">
        <v>26.0</v>
      </c>
      <c r="N29" s="23">
        <v>0.0</v>
      </c>
      <c r="O29" s="16"/>
      <c r="P29" s="23">
        <v>3.0</v>
      </c>
      <c r="Q29" s="16"/>
      <c r="R29" s="23">
        <v>2.0</v>
      </c>
      <c r="S29" s="16"/>
      <c r="T29" s="23">
        <v>0.0</v>
      </c>
      <c r="U29" s="16"/>
      <c r="V29" s="23">
        <v>10.0</v>
      </c>
      <c r="Y29" s="16">
        <v>26.0</v>
      </c>
      <c r="Z29" s="23">
        <v>0.0</v>
      </c>
      <c r="AA29" s="16"/>
      <c r="AB29" s="23">
        <v>0.0</v>
      </c>
      <c r="AC29" s="16"/>
      <c r="AD29" s="23">
        <v>0.0</v>
      </c>
      <c r="AE29" s="16"/>
      <c r="AF29" s="23">
        <v>0.0</v>
      </c>
      <c r="AG29" s="16"/>
      <c r="AH29" s="16"/>
    </row>
    <row r="30" ht="15.75" customHeight="1">
      <c r="A30" s="16">
        <v>27.0</v>
      </c>
      <c r="B30" s="23">
        <v>4.0</v>
      </c>
      <c r="C30" s="23">
        <v>1.0</v>
      </c>
      <c r="D30" s="23">
        <v>2.0</v>
      </c>
      <c r="E30" s="16"/>
      <c r="F30" s="23">
        <v>2.0</v>
      </c>
      <c r="G30" s="16"/>
      <c r="H30" s="23">
        <v>0.0</v>
      </c>
      <c r="I30" s="16"/>
      <c r="J30" s="23">
        <v>18.0</v>
      </c>
      <c r="M30" s="16">
        <v>27.0</v>
      </c>
      <c r="N30" s="23">
        <v>0.0</v>
      </c>
      <c r="O30" s="23">
        <v>1.0</v>
      </c>
      <c r="P30" s="23">
        <v>3.0</v>
      </c>
      <c r="Q30" s="16"/>
      <c r="R30" s="23">
        <v>2.0</v>
      </c>
      <c r="S30" s="16"/>
      <c r="T30" s="23">
        <v>0.0</v>
      </c>
      <c r="U30" s="16"/>
      <c r="V30" s="23">
        <v>9.0</v>
      </c>
      <c r="Y30" s="16">
        <v>27.0</v>
      </c>
      <c r="Z30" s="23">
        <v>0.0</v>
      </c>
      <c r="AA30" s="16"/>
      <c r="AB30" s="23">
        <v>0.0</v>
      </c>
      <c r="AC30" s="16"/>
      <c r="AD30" s="23">
        <v>0.0</v>
      </c>
      <c r="AE30" s="16"/>
      <c r="AF30" s="23">
        <v>0.0</v>
      </c>
      <c r="AG30" s="16"/>
      <c r="AH30" s="16"/>
    </row>
    <row r="31" ht="15.75" customHeight="1">
      <c r="A31" s="16">
        <v>28.0</v>
      </c>
      <c r="B31" s="23">
        <v>4.0</v>
      </c>
      <c r="C31" s="16"/>
      <c r="D31" s="23">
        <v>1.0</v>
      </c>
      <c r="E31" s="16"/>
      <c r="F31" s="23">
        <v>1.0</v>
      </c>
      <c r="G31" s="16"/>
      <c r="H31" s="23">
        <v>0.0</v>
      </c>
      <c r="I31" s="16"/>
      <c r="J31" s="23">
        <v>18.0</v>
      </c>
      <c r="M31" s="16">
        <v>28.0</v>
      </c>
      <c r="N31" s="23">
        <v>1.0</v>
      </c>
      <c r="O31" s="23">
        <v>1.0</v>
      </c>
      <c r="P31" s="23">
        <v>1.0</v>
      </c>
      <c r="Q31" s="16"/>
      <c r="R31" s="23">
        <v>1.0</v>
      </c>
      <c r="S31" s="16"/>
      <c r="T31" s="23">
        <v>0.0</v>
      </c>
      <c r="U31" s="16"/>
      <c r="V31" s="23">
        <v>9.0</v>
      </c>
      <c r="Y31" s="16">
        <v>28.0</v>
      </c>
      <c r="Z31" s="23">
        <v>0.0</v>
      </c>
      <c r="AA31" s="16"/>
      <c r="AB31" s="23">
        <v>0.0</v>
      </c>
      <c r="AC31" s="16"/>
      <c r="AD31" s="23">
        <v>0.0</v>
      </c>
      <c r="AE31" s="16"/>
      <c r="AF31" s="23">
        <v>0.0</v>
      </c>
      <c r="AG31" s="16"/>
      <c r="AH31" s="16"/>
    </row>
    <row r="32" ht="15.75" customHeight="1">
      <c r="A32" s="16">
        <v>29.0</v>
      </c>
      <c r="B32" s="23">
        <v>2.0</v>
      </c>
      <c r="C32" s="16"/>
      <c r="D32" s="23">
        <v>1.0</v>
      </c>
      <c r="E32" s="16"/>
      <c r="F32" s="23">
        <v>1.0</v>
      </c>
      <c r="G32" s="16"/>
      <c r="H32" s="23">
        <v>0.0</v>
      </c>
      <c r="I32" s="16"/>
      <c r="J32" s="23">
        <v>9.0</v>
      </c>
      <c r="M32" s="16">
        <v>29.0</v>
      </c>
      <c r="N32" s="23">
        <v>1.0</v>
      </c>
      <c r="O32" s="16"/>
      <c r="P32" s="23">
        <v>1.0</v>
      </c>
      <c r="Q32" s="16"/>
      <c r="R32" s="23">
        <v>1.0</v>
      </c>
      <c r="S32" s="16"/>
      <c r="T32" s="23">
        <v>0.0</v>
      </c>
      <c r="U32" s="16"/>
      <c r="V32" s="23">
        <v>10.0</v>
      </c>
      <c r="Y32" s="16">
        <v>29.0</v>
      </c>
      <c r="Z32" s="23">
        <v>0.0</v>
      </c>
      <c r="AA32" s="16"/>
      <c r="AB32" s="23">
        <v>0.0</v>
      </c>
      <c r="AC32" s="16"/>
      <c r="AD32" s="23">
        <v>0.0</v>
      </c>
      <c r="AE32" s="16"/>
      <c r="AF32" s="23">
        <v>0.0</v>
      </c>
      <c r="AG32" s="16"/>
      <c r="AH32" s="16"/>
    </row>
    <row r="33" ht="15.75" customHeight="1">
      <c r="A33" s="16">
        <v>30.0</v>
      </c>
      <c r="B33" s="23">
        <v>2.0</v>
      </c>
      <c r="C33" s="16"/>
      <c r="D33" s="23">
        <v>1.0</v>
      </c>
      <c r="E33" s="16"/>
      <c r="F33" s="23">
        <v>1.0</v>
      </c>
      <c r="G33" s="16"/>
      <c r="H33" s="23">
        <v>0.0</v>
      </c>
      <c r="I33" s="16"/>
      <c r="J33" s="23">
        <v>19.0</v>
      </c>
      <c r="M33" s="16">
        <v>30.0</v>
      </c>
      <c r="N33" s="23">
        <v>0.0</v>
      </c>
      <c r="O33" s="16"/>
      <c r="P33" s="23">
        <v>1.0</v>
      </c>
      <c r="Q33" s="16"/>
      <c r="R33" s="23">
        <v>1.0</v>
      </c>
      <c r="S33" s="16"/>
      <c r="T33" s="23">
        <v>0.0</v>
      </c>
      <c r="U33" s="16"/>
      <c r="V33" s="23">
        <v>9.0</v>
      </c>
      <c r="Y33" s="16">
        <v>30.0</v>
      </c>
      <c r="Z33" s="23">
        <v>0.0</v>
      </c>
      <c r="AA33" s="16"/>
      <c r="AB33" s="23">
        <v>0.0</v>
      </c>
      <c r="AC33" s="16"/>
      <c r="AD33" s="23">
        <v>0.0</v>
      </c>
      <c r="AE33" s="16"/>
      <c r="AF33" s="23">
        <v>0.0</v>
      </c>
      <c r="AG33" s="16"/>
      <c r="AH33" s="16"/>
    </row>
    <row r="34" ht="15.75" customHeight="1">
      <c r="A34" s="16">
        <v>31.0</v>
      </c>
      <c r="B34" s="27">
        <v>2.0</v>
      </c>
      <c r="C34" s="10"/>
      <c r="D34" s="27">
        <v>1.0</v>
      </c>
      <c r="E34" s="27"/>
      <c r="F34" s="27">
        <v>1.0</v>
      </c>
      <c r="G34" s="10"/>
      <c r="H34" s="27">
        <v>0.0</v>
      </c>
      <c r="I34" s="10"/>
      <c r="J34" s="27">
        <v>20.0</v>
      </c>
      <c r="M34" s="16">
        <v>31.0</v>
      </c>
      <c r="N34" s="27">
        <v>0.0</v>
      </c>
      <c r="O34" s="10"/>
      <c r="P34" s="27">
        <v>1.0</v>
      </c>
      <c r="Q34" s="27">
        <v>1.0</v>
      </c>
      <c r="R34" s="27">
        <v>1.0</v>
      </c>
      <c r="S34" s="10"/>
      <c r="T34" s="27">
        <v>0.0</v>
      </c>
      <c r="U34" s="10"/>
      <c r="V34" s="27">
        <v>8.0</v>
      </c>
      <c r="Y34" s="16">
        <v>31.0</v>
      </c>
      <c r="Z34" s="27">
        <v>0.0</v>
      </c>
      <c r="AA34" s="10"/>
      <c r="AB34" s="27">
        <v>0.0</v>
      </c>
      <c r="AC34" s="10"/>
      <c r="AD34" s="27">
        <v>0.0</v>
      </c>
      <c r="AE34" s="10"/>
      <c r="AF34" s="27">
        <v>0.0</v>
      </c>
      <c r="AG34" s="10"/>
      <c r="AH34" s="10"/>
    </row>
    <row r="35" ht="15.75" customHeight="1">
      <c r="A35" s="28" t="s">
        <v>11</v>
      </c>
      <c r="B35" s="28">
        <f t="shared" ref="B35:J35" si="1">SUM(B4:B34)</f>
        <v>122</v>
      </c>
      <c r="C35" s="28">
        <f t="shared" si="1"/>
        <v>13</v>
      </c>
      <c r="D35" s="28">
        <f t="shared" si="1"/>
        <v>44</v>
      </c>
      <c r="E35" s="28">
        <f t="shared" si="1"/>
        <v>7</v>
      </c>
      <c r="F35" s="28">
        <f t="shared" si="1"/>
        <v>23</v>
      </c>
      <c r="G35" s="28">
        <f t="shared" si="1"/>
        <v>3</v>
      </c>
      <c r="H35" s="28">
        <f t="shared" si="1"/>
        <v>0</v>
      </c>
      <c r="I35" s="28">
        <f t="shared" si="1"/>
        <v>0</v>
      </c>
      <c r="J35" s="28">
        <f t="shared" si="1"/>
        <v>527</v>
      </c>
      <c r="M35" s="28" t="s">
        <v>11</v>
      </c>
      <c r="N35" s="28">
        <f t="shared" ref="N35:V35" si="2">SUM(N4:N34)</f>
        <v>22</v>
      </c>
      <c r="O35" s="28">
        <f t="shared" si="2"/>
        <v>6</v>
      </c>
      <c r="P35" s="28">
        <f t="shared" si="2"/>
        <v>65</v>
      </c>
      <c r="Q35" s="28">
        <f t="shared" si="2"/>
        <v>5</v>
      </c>
      <c r="R35" s="28">
        <f t="shared" si="2"/>
        <v>45</v>
      </c>
      <c r="S35" s="28">
        <f t="shared" si="2"/>
        <v>4</v>
      </c>
      <c r="T35" s="28">
        <f t="shared" si="2"/>
        <v>0</v>
      </c>
      <c r="U35" s="28">
        <f t="shared" si="2"/>
        <v>0</v>
      </c>
      <c r="V35" s="28">
        <f t="shared" si="2"/>
        <v>280</v>
      </c>
      <c r="Y35" s="28" t="s">
        <v>11</v>
      </c>
      <c r="Z35" s="28">
        <f t="shared" ref="Z35:AH35" si="3">SUM(Z4:Z34)</f>
        <v>16</v>
      </c>
      <c r="AA35" s="28">
        <f t="shared" si="3"/>
        <v>2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7</v>
      </c>
    </row>
    <row r="36" ht="15.75" customHeight="1">
      <c r="A36" s="29" t="s">
        <v>12</v>
      </c>
      <c r="B36" s="28">
        <f t="shared" ref="B36:I36" si="4">(B35/$J$35)*1000</f>
        <v>231.4990512</v>
      </c>
      <c r="C36" s="28">
        <f t="shared" si="4"/>
        <v>24.66793169</v>
      </c>
      <c r="D36" s="28">
        <f t="shared" si="4"/>
        <v>83.4914611</v>
      </c>
      <c r="E36" s="28">
        <f t="shared" si="4"/>
        <v>13.28273245</v>
      </c>
      <c r="F36" s="28">
        <f t="shared" si="4"/>
        <v>43.64326376</v>
      </c>
      <c r="G36" s="28">
        <f t="shared" si="4"/>
        <v>5.69259962</v>
      </c>
      <c r="H36" s="28">
        <f t="shared" si="4"/>
        <v>0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7.857142857</v>
      </c>
      <c r="O36" s="28">
        <f t="shared" si="5"/>
        <v>2.142857143</v>
      </c>
      <c r="P36" s="28">
        <f t="shared" si="5"/>
        <v>23.21428571</v>
      </c>
      <c r="Q36" s="28">
        <f t="shared" si="5"/>
        <v>1.785714286</v>
      </c>
      <c r="R36" s="28">
        <f t="shared" si="5"/>
        <v>16.07142857</v>
      </c>
      <c r="S36" s="28">
        <f t="shared" si="5"/>
        <v>1.428571429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>
        <f t="shared" ref="Z36:AG36" si="6">(Z35/$AH$35)*100</f>
        <v>228.5714286</v>
      </c>
      <c r="AA36" s="28">
        <f t="shared" si="6"/>
        <v>28.57142857</v>
      </c>
      <c r="AB36" s="28">
        <f t="shared" si="6"/>
        <v>0</v>
      </c>
      <c r="AC36" s="28">
        <f t="shared" si="6"/>
        <v>0</v>
      </c>
      <c r="AD36" s="28">
        <f t="shared" si="6"/>
        <v>0</v>
      </c>
      <c r="AE36" s="28">
        <f t="shared" si="6"/>
        <v>0</v>
      </c>
      <c r="AF36" s="28">
        <f t="shared" si="6"/>
        <v>0</v>
      </c>
      <c r="AG36" s="28">
        <f t="shared" si="6"/>
        <v>0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B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30" t="s">
        <v>13</v>
      </c>
      <c r="B1" s="2"/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7">
        <v>2.0</v>
      </c>
      <c r="C4" s="27"/>
      <c r="D4" s="27">
        <v>1.0</v>
      </c>
      <c r="E4" s="10"/>
      <c r="F4" s="27">
        <v>1.0</v>
      </c>
      <c r="G4" s="27">
        <v>1.0</v>
      </c>
      <c r="H4" s="27">
        <v>0.0</v>
      </c>
      <c r="I4" s="16"/>
      <c r="J4" s="16"/>
      <c r="M4" s="16">
        <v>1.0</v>
      </c>
      <c r="N4" s="27">
        <v>0.0</v>
      </c>
      <c r="O4" s="27">
        <v>1.0</v>
      </c>
      <c r="P4" s="27">
        <v>1.0</v>
      </c>
      <c r="Q4" s="10"/>
      <c r="R4" s="27">
        <v>1.0</v>
      </c>
      <c r="S4" s="10"/>
      <c r="T4" s="27">
        <v>0.0</v>
      </c>
      <c r="U4" s="16"/>
      <c r="V4" s="16"/>
      <c r="Y4" s="16">
        <v>1.0</v>
      </c>
      <c r="Z4" s="23">
        <v>0.0</v>
      </c>
      <c r="AA4" s="16"/>
      <c r="AB4" s="23">
        <v>0.0</v>
      </c>
      <c r="AC4" s="16"/>
      <c r="AD4" s="23">
        <v>0.0</v>
      </c>
      <c r="AE4" s="16"/>
      <c r="AF4" s="23">
        <v>0.0</v>
      </c>
      <c r="AG4" s="16"/>
      <c r="AH4" s="16"/>
    </row>
    <row r="5" ht="15.75" customHeight="1">
      <c r="A5" s="16">
        <v>2.0</v>
      </c>
      <c r="B5" s="23">
        <v>2.0</v>
      </c>
      <c r="C5" s="23">
        <v>2.0</v>
      </c>
      <c r="D5" s="23">
        <v>1.0</v>
      </c>
      <c r="E5" s="16"/>
      <c r="F5" s="23">
        <v>1.0</v>
      </c>
      <c r="G5" s="16"/>
      <c r="H5" s="23">
        <v>0.0</v>
      </c>
      <c r="I5" s="16"/>
      <c r="J5" s="16"/>
      <c r="M5" s="16">
        <v>2.0</v>
      </c>
      <c r="N5" s="23">
        <v>1.0</v>
      </c>
      <c r="O5" s="16"/>
      <c r="P5" s="23">
        <v>1.0</v>
      </c>
      <c r="Q5" s="16"/>
      <c r="R5" s="23">
        <v>1.0</v>
      </c>
      <c r="S5" s="16"/>
      <c r="T5" s="23">
        <v>0.0</v>
      </c>
      <c r="U5" s="16"/>
      <c r="V5" s="16"/>
      <c r="Y5" s="16">
        <v>2.0</v>
      </c>
      <c r="Z5" s="23">
        <v>0.0</v>
      </c>
      <c r="AA5" s="16"/>
      <c r="AB5" s="23">
        <v>0.0</v>
      </c>
      <c r="AC5" s="16"/>
      <c r="AD5" s="23">
        <v>0.0</v>
      </c>
      <c r="AE5" s="16"/>
      <c r="AF5" s="23">
        <v>0.0</v>
      </c>
      <c r="AG5" s="16"/>
      <c r="AH5" s="16"/>
    </row>
    <row r="6" ht="15.75" customHeight="1">
      <c r="A6" s="16">
        <v>3.0</v>
      </c>
      <c r="B6" s="23">
        <v>5.0</v>
      </c>
      <c r="C6" s="16"/>
      <c r="D6" s="23">
        <v>1.0</v>
      </c>
      <c r="E6" s="16"/>
      <c r="F6" s="23">
        <v>1.0</v>
      </c>
      <c r="G6" s="16"/>
      <c r="H6" s="23">
        <v>0.0</v>
      </c>
      <c r="I6" s="16"/>
      <c r="J6" s="16"/>
      <c r="M6" s="16">
        <v>3.0</v>
      </c>
      <c r="N6" s="23">
        <v>1.0</v>
      </c>
      <c r="O6" s="16"/>
      <c r="P6" s="23">
        <v>1.0</v>
      </c>
      <c r="Q6" s="23">
        <v>1.0</v>
      </c>
      <c r="R6" s="23">
        <v>1.0</v>
      </c>
      <c r="S6" s="16"/>
      <c r="T6" s="23">
        <v>0.0</v>
      </c>
      <c r="U6" s="16"/>
      <c r="V6" s="16"/>
      <c r="Y6" s="16">
        <v>3.0</v>
      </c>
      <c r="Z6" s="23">
        <v>0.0</v>
      </c>
      <c r="AA6" s="16"/>
      <c r="AB6" s="23">
        <v>0.0</v>
      </c>
      <c r="AC6" s="16"/>
      <c r="AD6" s="23">
        <v>0.0</v>
      </c>
      <c r="AE6" s="16"/>
      <c r="AF6" s="23">
        <v>0.0</v>
      </c>
      <c r="AG6" s="16"/>
      <c r="AH6" s="16"/>
    </row>
    <row r="7" ht="15.75" customHeight="1">
      <c r="A7" s="16">
        <v>4.0</v>
      </c>
      <c r="B7" s="23">
        <v>5.0</v>
      </c>
      <c r="C7" s="23">
        <v>2.0</v>
      </c>
      <c r="D7" s="23">
        <v>1.0</v>
      </c>
      <c r="E7" s="16"/>
      <c r="F7" s="23">
        <v>1.0</v>
      </c>
      <c r="G7" s="16"/>
      <c r="H7" s="23">
        <v>0.0</v>
      </c>
      <c r="I7" s="16"/>
      <c r="J7" s="16"/>
      <c r="M7" s="16">
        <v>4.0</v>
      </c>
      <c r="N7" s="23">
        <v>1.0</v>
      </c>
      <c r="O7" s="16"/>
      <c r="P7" s="23">
        <v>2.0</v>
      </c>
      <c r="Q7" s="16"/>
      <c r="R7" s="23">
        <v>1.0</v>
      </c>
      <c r="S7" s="16"/>
      <c r="T7" s="23">
        <v>0.0</v>
      </c>
      <c r="U7" s="16"/>
      <c r="V7" s="16"/>
      <c r="Y7" s="16">
        <v>4.0</v>
      </c>
      <c r="Z7" s="23">
        <v>0.0</v>
      </c>
      <c r="AA7" s="16"/>
      <c r="AB7" s="23">
        <v>0.0</v>
      </c>
      <c r="AC7" s="16"/>
      <c r="AD7" s="23">
        <v>0.0</v>
      </c>
      <c r="AE7" s="16"/>
      <c r="AF7" s="23">
        <v>0.0</v>
      </c>
      <c r="AG7" s="16"/>
      <c r="AH7" s="16"/>
    </row>
    <row r="8" ht="15.75" customHeight="1">
      <c r="A8" s="16">
        <v>5.0</v>
      </c>
      <c r="B8" s="23">
        <v>5.0</v>
      </c>
      <c r="C8" s="16"/>
      <c r="D8" s="23">
        <v>1.0</v>
      </c>
      <c r="E8" s="23">
        <v>1.0</v>
      </c>
      <c r="F8" s="23">
        <v>1.0</v>
      </c>
      <c r="G8" s="16"/>
      <c r="H8" s="23">
        <v>0.0</v>
      </c>
      <c r="I8" s="16"/>
      <c r="J8" s="16"/>
      <c r="M8" s="16">
        <v>5.0</v>
      </c>
      <c r="N8" s="23">
        <v>1.0</v>
      </c>
      <c r="O8" s="16"/>
      <c r="P8" s="23">
        <v>3.0</v>
      </c>
      <c r="Q8" s="16"/>
      <c r="R8" s="23">
        <v>1.0</v>
      </c>
      <c r="S8" s="16"/>
      <c r="T8" s="23">
        <v>0.0</v>
      </c>
      <c r="U8" s="16"/>
      <c r="V8" s="16"/>
      <c r="Y8" s="16">
        <v>5.0</v>
      </c>
      <c r="Z8" s="23">
        <v>0.0</v>
      </c>
      <c r="AA8" s="16"/>
      <c r="AB8" s="23">
        <v>0.0</v>
      </c>
      <c r="AC8" s="16"/>
      <c r="AD8" s="23">
        <v>0.0</v>
      </c>
      <c r="AE8" s="16"/>
      <c r="AF8" s="23">
        <v>0.0</v>
      </c>
      <c r="AG8" s="16"/>
      <c r="AH8" s="16"/>
    </row>
    <row r="9" ht="15.75" customHeight="1">
      <c r="A9" s="16">
        <v>6.0</v>
      </c>
      <c r="B9" s="23">
        <v>5.0</v>
      </c>
      <c r="C9" s="16"/>
      <c r="D9" s="23">
        <v>1.0</v>
      </c>
      <c r="E9" s="23">
        <v>1.0</v>
      </c>
      <c r="F9" s="23">
        <v>1.0</v>
      </c>
      <c r="G9" s="16"/>
      <c r="H9" s="23">
        <v>0.0</v>
      </c>
      <c r="I9" s="16"/>
      <c r="J9" s="16"/>
      <c r="M9" s="16">
        <v>6.0</v>
      </c>
      <c r="N9" s="23">
        <v>1.0</v>
      </c>
      <c r="O9" s="16"/>
      <c r="P9" s="23">
        <v>2.0</v>
      </c>
      <c r="Q9" s="16"/>
      <c r="R9" s="23">
        <v>1.0</v>
      </c>
      <c r="S9" s="16"/>
      <c r="T9" s="23">
        <v>0.0</v>
      </c>
      <c r="U9" s="16"/>
      <c r="V9" s="16"/>
      <c r="Y9" s="16">
        <v>6.0</v>
      </c>
      <c r="Z9" s="23">
        <v>0.0</v>
      </c>
      <c r="AA9" s="16"/>
      <c r="AB9" s="23">
        <v>0.0</v>
      </c>
      <c r="AC9" s="16"/>
      <c r="AD9" s="23">
        <v>0.0</v>
      </c>
      <c r="AE9" s="16"/>
      <c r="AF9" s="23">
        <v>0.0</v>
      </c>
      <c r="AG9" s="16"/>
      <c r="AH9" s="16"/>
    </row>
    <row r="10" ht="15.75" customHeight="1">
      <c r="A10" s="16">
        <v>7.0</v>
      </c>
      <c r="B10" s="23">
        <v>4.0</v>
      </c>
      <c r="C10" s="16"/>
      <c r="D10" s="23">
        <v>2.0</v>
      </c>
      <c r="E10" s="16"/>
      <c r="F10" s="23">
        <v>1.0</v>
      </c>
      <c r="G10" s="16"/>
      <c r="H10" s="23">
        <v>0.0</v>
      </c>
      <c r="I10" s="16"/>
      <c r="J10" s="16"/>
      <c r="M10" s="16">
        <v>7.0</v>
      </c>
      <c r="N10" s="23">
        <v>1.0</v>
      </c>
      <c r="O10" s="16"/>
      <c r="P10" s="23">
        <v>1.0</v>
      </c>
      <c r="Q10" s="16"/>
      <c r="R10" s="23">
        <v>1.0</v>
      </c>
      <c r="S10" s="16"/>
      <c r="T10" s="23">
        <v>0.0</v>
      </c>
      <c r="U10" s="16"/>
      <c r="V10" s="16"/>
      <c r="Y10" s="16">
        <v>7.0</v>
      </c>
      <c r="Z10" s="23">
        <v>0.0</v>
      </c>
      <c r="AA10" s="16"/>
      <c r="AB10" s="23">
        <v>0.0</v>
      </c>
      <c r="AC10" s="16"/>
      <c r="AD10" s="23">
        <v>0.0</v>
      </c>
      <c r="AE10" s="16"/>
      <c r="AF10" s="23">
        <v>0.0</v>
      </c>
      <c r="AG10" s="16"/>
      <c r="AH10" s="16"/>
    </row>
    <row r="11" ht="15.75" customHeight="1">
      <c r="A11" s="16">
        <v>8.0</v>
      </c>
      <c r="B11" s="23">
        <v>3.0</v>
      </c>
      <c r="C11" s="16"/>
      <c r="D11" s="23">
        <v>2.0</v>
      </c>
      <c r="E11" s="16"/>
      <c r="F11" s="23">
        <v>1.0</v>
      </c>
      <c r="G11" s="16"/>
      <c r="H11" s="23">
        <v>0.0</v>
      </c>
      <c r="I11" s="16"/>
      <c r="J11" s="16"/>
      <c r="M11" s="16">
        <v>8.0</v>
      </c>
      <c r="N11" s="23">
        <v>1.0</v>
      </c>
      <c r="O11" s="16"/>
      <c r="P11" s="23">
        <v>1.0</v>
      </c>
      <c r="Q11" s="16"/>
      <c r="R11" s="23">
        <v>1.0</v>
      </c>
      <c r="S11" s="16"/>
      <c r="T11" s="23">
        <v>0.0</v>
      </c>
      <c r="U11" s="16"/>
      <c r="V11" s="16"/>
      <c r="Y11" s="16">
        <v>8.0</v>
      </c>
      <c r="Z11" s="23">
        <v>0.0</v>
      </c>
      <c r="AA11" s="16"/>
      <c r="AB11" s="23">
        <v>0.0</v>
      </c>
      <c r="AC11" s="16"/>
      <c r="AD11" s="23">
        <v>0.0</v>
      </c>
      <c r="AE11" s="16"/>
      <c r="AF11" s="23">
        <v>0.0</v>
      </c>
      <c r="AG11" s="16"/>
      <c r="AH11" s="16"/>
    </row>
    <row r="12" ht="15.75" customHeight="1">
      <c r="A12" s="16">
        <v>9.0</v>
      </c>
      <c r="B12" s="23">
        <v>3.0</v>
      </c>
      <c r="C12" s="16"/>
      <c r="D12" s="23">
        <v>2.0</v>
      </c>
      <c r="E12" s="16"/>
      <c r="F12" s="23">
        <v>1.0</v>
      </c>
      <c r="G12" s="16"/>
      <c r="H12" s="23">
        <v>0.0</v>
      </c>
      <c r="I12" s="16"/>
      <c r="J12" s="16"/>
      <c r="M12" s="16">
        <v>9.0</v>
      </c>
      <c r="N12" s="23">
        <v>1.0</v>
      </c>
      <c r="O12" s="23">
        <v>1.0</v>
      </c>
      <c r="P12" s="23">
        <v>1.0</v>
      </c>
      <c r="Q12" s="16"/>
      <c r="R12" s="23">
        <v>1.0</v>
      </c>
      <c r="S12" s="16"/>
      <c r="T12" s="23">
        <v>0.0</v>
      </c>
      <c r="U12" s="16"/>
      <c r="V12" s="16"/>
      <c r="Y12" s="16">
        <v>9.0</v>
      </c>
      <c r="Z12" s="23">
        <v>0.0</v>
      </c>
      <c r="AA12" s="16"/>
      <c r="AB12" s="23">
        <v>0.0</v>
      </c>
      <c r="AC12" s="16"/>
      <c r="AD12" s="23">
        <v>0.0</v>
      </c>
      <c r="AE12" s="16"/>
      <c r="AF12" s="23">
        <v>0.0</v>
      </c>
      <c r="AG12" s="16"/>
      <c r="AH12" s="16"/>
    </row>
    <row r="13" ht="15.75" customHeight="1">
      <c r="A13" s="16">
        <v>10.0</v>
      </c>
      <c r="B13" s="23">
        <v>3.0</v>
      </c>
      <c r="C13" s="23">
        <v>1.0</v>
      </c>
      <c r="D13" s="23">
        <v>2.0</v>
      </c>
      <c r="E13" s="16"/>
      <c r="F13" s="23">
        <v>1.0</v>
      </c>
      <c r="G13" s="23"/>
      <c r="H13" s="23">
        <v>0.0</v>
      </c>
      <c r="I13" s="16"/>
      <c r="J13" s="16"/>
      <c r="M13" s="16">
        <v>10.0</v>
      </c>
      <c r="N13" s="23">
        <v>3.0</v>
      </c>
      <c r="O13" s="16"/>
      <c r="P13" s="23">
        <v>1.0</v>
      </c>
      <c r="Q13" s="16"/>
      <c r="R13" s="23">
        <v>1.0</v>
      </c>
      <c r="S13" s="23">
        <v>1.0</v>
      </c>
      <c r="T13" s="23">
        <v>0.0</v>
      </c>
      <c r="U13" s="16"/>
      <c r="V13" s="16"/>
      <c r="Y13" s="16">
        <v>10.0</v>
      </c>
      <c r="Z13" s="23">
        <v>0.0</v>
      </c>
      <c r="AA13" s="16"/>
      <c r="AB13" s="23">
        <v>0.0</v>
      </c>
      <c r="AC13" s="16"/>
      <c r="AD13" s="23">
        <v>0.0</v>
      </c>
      <c r="AE13" s="16"/>
      <c r="AF13" s="23">
        <v>0.0</v>
      </c>
      <c r="AG13" s="16"/>
      <c r="AH13" s="16"/>
    </row>
    <row r="14" ht="15.75" customHeight="1">
      <c r="A14" s="16">
        <v>11.0</v>
      </c>
      <c r="B14" s="23">
        <v>3.0</v>
      </c>
      <c r="C14" s="16"/>
      <c r="D14" s="23">
        <v>1.0</v>
      </c>
      <c r="E14" s="16"/>
      <c r="F14" s="23">
        <v>1.0</v>
      </c>
      <c r="G14" s="23">
        <v>1.0</v>
      </c>
      <c r="H14" s="23">
        <v>0.0</v>
      </c>
      <c r="I14" s="16"/>
      <c r="J14" s="16"/>
      <c r="M14" s="16">
        <v>11.0</v>
      </c>
      <c r="N14" s="23">
        <v>1.0</v>
      </c>
      <c r="O14" s="16"/>
      <c r="P14" s="23">
        <v>1.0</v>
      </c>
      <c r="Q14" s="16"/>
      <c r="R14" s="23">
        <v>2.0</v>
      </c>
      <c r="S14" s="23"/>
      <c r="T14" s="23">
        <v>0.0</v>
      </c>
      <c r="U14" s="16"/>
      <c r="V14" s="16"/>
      <c r="Y14" s="16">
        <v>11.0</v>
      </c>
      <c r="Z14" s="23">
        <v>0.0</v>
      </c>
      <c r="AA14" s="16"/>
      <c r="AB14" s="23">
        <v>0.0</v>
      </c>
      <c r="AC14" s="16"/>
      <c r="AD14" s="23">
        <v>0.0</v>
      </c>
      <c r="AE14" s="16"/>
      <c r="AF14" s="23">
        <v>0.0</v>
      </c>
      <c r="AG14" s="16"/>
      <c r="AH14" s="16"/>
    </row>
    <row r="15" ht="15.75" customHeight="1">
      <c r="A15" s="16">
        <v>12.0</v>
      </c>
      <c r="B15" s="23">
        <v>3.0</v>
      </c>
      <c r="C15" s="16"/>
      <c r="D15" s="23">
        <v>1.0</v>
      </c>
      <c r="E15" s="16"/>
      <c r="F15" s="23">
        <v>2.0</v>
      </c>
      <c r="G15" s="23"/>
      <c r="H15" s="23">
        <v>0.0</v>
      </c>
      <c r="I15" s="16"/>
      <c r="J15" s="16"/>
      <c r="M15" s="16">
        <v>12.0</v>
      </c>
      <c r="N15" s="23">
        <v>1.0</v>
      </c>
      <c r="O15" s="16"/>
      <c r="P15" s="23">
        <v>1.0</v>
      </c>
      <c r="Q15" s="16"/>
      <c r="R15" s="23">
        <v>2.0</v>
      </c>
      <c r="S15" s="16"/>
      <c r="T15" s="23">
        <v>0.0</v>
      </c>
      <c r="U15" s="16"/>
      <c r="V15" s="16"/>
      <c r="Y15" s="16">
        <v>12.0</v>
      </c>
      <c r="Z15" s="23">
        <v>0.0</v>
      </c>
      <c r="AA15" s="16"/>
      <c r="AB15" s="23">
        <v>0.0</v>
      </c>
      <c r="AC15" s="16"/>
      <c r="AD15" s="23">
        <v>0.0</v>
      </c>
      <c r="AE15" s="16"/>
      <c r="AF15" s="23">
        <v>0.0</v>
      </c>
      <c r="AG15" s="16"/>
      <c r="AH15" s="16"/>
    </row>
    <row r="16" ht="15.75" customHeight="1">
      <c r="A16" s="16">
        <v>13.0</v>
      </c>
      <c r="B16" s="23">
        <v>3.0</v>
      </c>
      <c r="C16" s="16"/>
      <c r="D16" s="23">
        <v>1.0</v>
      </c>
      <c r="E16" s="16"/>
      <c r="F16" s="23">
        <v>2.0</v>
      </c>
      <c r="G16" s="16"/>
      <c r="H16" s="23">
        <v>0.0</v>
      </c>
      <c r="I16" s="16"/>
      <c r="J16" s="16"/>
      <c r="M16" s="16">
        <v>13.0</v>
      </c>
      <c r="N16" s="23">
        <v>1.0</v>
      </c>
      <c r="O16" s="23">
        <v>1.0</v>
      </c>
      <c r="P16" s="23">
        <v>1.0</v>
      </c>
      <c r="Q16" s="16"/>
      <c r="R16" s="23">
        <v>2.0</v>
      </c>
      <c r="S16" s="16"/>
      <c r="T16" s="23">
        <v>0.0</v>
      </c>
      <c r="U16" s="16"/>
      <c r="V16" s="16"/>
      <c r="Y16" s="16">
        <v>13.0</v>
      </c>
      <c r="Z16" s="23">
        <v>0.0</v>
      </c>
      <c r="AA16" s="16"/>
      <c r="AB16" s="23">
        <v>0.0</v>
      </c>
      <c r="AC16" s="16"/>
      <c r="AD16" s="23">
        <v>0.0</v>
      </c>
      <c r="AE16" s="16"/>
      <c r="AF16" s="23">
        <v>0.0</v>
      </c>
      <c r="AG16" s="16"/>
      <c r="AH16" s="16"/>
    </row>
    <row r="17" ht="15.75" customHeight="1">
      <c r="A17" s="16">
        <v>14.0</v>
      </c>
      <c r="B17" s="23">
        <v>3.0</v>
      </c>
      <c r="C17" s="16"/>
      <c r="D17" s="23">
        <v>1.0</v>
      </c>
      <c r="E17" s="16"/>
      <c r="F17" s="23">
        <v>2.0</v>
      </c>
      <c r="G17" s="16"/>
      <c r="H17" s="23">
        <v>0.0</v>
      </c>
      <c r="I17" s="16"/>
      <c r="J17" s="16"/>
      <c r="M17" s="16">
        <v>14.0</v>
      </c>
      <c r="N17" s="23">
        <v>3.0</v>
      </c>
      <c r="O17" s="16"/>
      <c r="P17" s="23">
        <v>1.0</v>
      </c>
      <c r="Q17" s="16"/>
      <c r="R17" s="23">
        <v>2.0</v>
      </c>
      <c r="S17" s="16"/>
      <c r="T17" s="23">
        <v>0.0</v>
      </c>
      <c r="U17" s="16"/>
      <c r="V17" s="16"/>
      <c r="Y17" s="16">
        <v>14.0</v>
      </c>
      <c r="Z17" s="23">
        <v>0.0</v>
      </c>
      <c r="AA17" s="16"/>
      <c r="AB17" s="23">
        <v>0.0</v>
      </c>
      <c r="AC17" s="16"/>
      <c r="AD17" s="23">
        <v>0.0</v>
      </c>
      <c r="AE17" s="16"/>
      <c r="AF17" s="23">
        <v>0.0</v>
      </c>
      <c r="AG17" s="16"/>
      <c r="AH17" s="16"/>
    </row>
    <row r="18" ht="15.75" customHeight="1">
      <c r="A18" s="16">
        <v>15.0</v>
      </c>
      <c r="B18" s="23">
        <v>3.0</v>
      </c>
      <c r="C18" s="16"/>
      <c r="D18" s="23">
        <v>1.0</v>
      </c>
      <c r="E18" s="16"/>
      <c r="F18" s="23">
        <v>2.0</v>
      </c>
      <c r="G18" s="16"/>
      <c r="H18" s="23">
        <v>0.0</v>
      </c>
      <c r="I18" s="16"/>
      <c r="J18" s="28"/>
      <c r="M18" s="16">
        <v>15.0</v>
      </c>
      <c r="N18" s="23">
        <v>3.0</v>
      </c>
      <c r="O18" s="16"/>
      <c r="P18" s="23">
        <v>0.0</v>
      </c>
      <c r="Q18" s="16"/>
      <c r="R18" s="23">
        <v>2.0</v>
      </c>
      <c r="S18" s="16"/>
      <c r="T18" s="23">
        <v>0.0</v>
      </c>
      <c r="U18" s="16"/>
      <c r="V18" s="16"/>
      <c r="Y18" s="16">
        <v>15.0</v>
      </c>
      <c r="Z18" s="23">
        <v>0.0</v>
      </c>
      <c r="AA18" s="16"/>
      <c r="AB18" s="23">
        <v>0.0</v>
      </c>
      <c r="AC18" s="16"/>
      <c r="AD18" s="23">
        <v>0.0</v>
      </c>
      <c r="AE18" s="16"/>
      <c r="AF18" s="23">
        <v>0.0</v>
      </c>
      <c r="AG18" s="16"/>
      <c r="AH18" s="16"/>
    </row>
    <row r="19" ht="15.75" customHeight="1">
      <c r="A19" s="16">
        <v>16.0</v>
      </c>
      <c r="B19" s="23">
        <v>3.0</v>
      </c>
      <c r="C19" s="16"/>
      <c r="D19" s="23">
        <v>1.0</v>
      </c>
      <c r="E19" s="16"/>
      <c r="F19" s="23">
        <v>2.0</v>
      </c>
      <c r="G19" s="16"/>
      <c r="H19" s="23">
        <v>0.0</v>
      </c>
      <c r="I19" s="16"/>
      <c r="J19" s="16"/>
      <c r="M19" s="16">
        <v>16.0</v>
      </c>
      <c r="N19" s="23">
        <v>2.0</v>
      </c>
      <c r="O19" s="16"/>
      <c r="P19" s="23">
        <v>0.0</v>
      </c>
      <c r="Q19" s="23">
        <v>1.0</v>
      </c>
      <c r="R19" s="23">
        <v>2.0</v>
      </c>
      <c r="S19" s="16"/>
      <c r="T19" s="23">
        <v>0.0</v>
      </c>
      <c r="U19" s="16"/>
      <c r="V19" s="16"/>
      <c r="Y19" s="16">
        <v>16.0</v>
      </c>
      <c r="Z19" s="23">
        <v>0.0</v>
      </c>
      <c r="AA19" s="16"/>
      <c r="AB19" s="23">
        <v>0.0</v>
      </c>
      <c r="AC19" s="16"/>
      <c r="AD19" s="23">
        <v>0.0</v>
      </c>
      <c r="AE19" s="16"/>
      <c r="AF19" s="23">
        <v>0.0</v>
      </c>
      <c r="AG19" s="16"/>
      <c r="AH19" s="16"/>
    </row>
    <row r="20" ht="15.75" customHeight="1">
      <c r="A20" s="16">
        <v>17.0</v>
      </c>
      <c r="B20" s="23">
        <v>3.0</v>
      </c>
      <c r="C20" s="16"/>
      <c r="D20" s="23">
        <v>0.0</v>
      </c>
      <c r="E20" s="16"/>
      <c r="F20" s="23">
        <v>2.0</v>
      </c>
      <c r="G20" s="16"/>
      <c r="H20" s="23">
        <v>0.0</v>
      </c>
      <c r="I20" s="16"/>
      <c r="J20" s="16"/>
      <c r="M20" s="16">
        <v>17.0</v>
      </c>
      <c r="N20" s="23">
        <v>2.0</v>
      </c>
      <c r="O20" s="23">
        <v>1.0</v>
      </c>
      <c r="P20" s="23">
        <v>1.0</v>
      </c>
      <c r="Q20" s="16"/>
      <c r="R20" s="23">
        <v>2.0</v>
      </c>
      <c r="S20" s="16"/>
      <c r="T20" s="23">
        <v>0.0</v>
      </c>
      <c r="U20" s="16"/>
      <c r="V20" s="16"/>
      <c r="Y20" s="16">
        <v>17.0</v>
      </c>
      <c r="Z20" s="23">
        <v>0.0</v>
      </c>
      <c r="AA20" s="16"/>
      <c r="AB20" s="23">
        <v>0.0</v>
      </c>
      <c r="AC20" s="16"/>
      <c r="AD20" s="23">
        <v>0.0</v>
      </c>
      <c r="AE20" s="16"/>
      <c r="AF20" s="23">
        <v>0.0</v>
      </c>
      <c r="AG20" s="16"/>
      <c r="AH20" s="16"/>
    </row>
    <row r="21" ht="15.75" customHeight="1">
      <c r="A21" s="16">
        <v>18.0</v>
      </c>
      <c r="B21" s="23">
        <v>3.0</v>
      </c>
      <c r="C21" s="16"/>
      <c r="D21" s="23">
        <v>0.0</v>
      </c>
      <c r="E21" s="16"/>
      <c r="F21" s="23">
        <v>2.0</v>
      </c>
      <c r="G21" s="16"/>
      <c r="H21" s="23">
        <v>0.0</v>
      </c>
      <c r="I21" s="16"/>
      <c r="J21" s="16"/>
      <c r="M21" s="16">
        <v>18.0</v>
      </c>
      <c r="N21" s="23">
        <v>3.0</v>
      </c>
      <c r="O21" s="16"/>
      <c r="P21" s="23">
        <v>1.0</v>
      </c>
      <c r="Q21" s="16"/>
      <c r="R21" s="23">
        <v>2.0</v>
      </c>
      <c r="S21" s="16"/>
      <c r="T21" s="23">
        <v>0.0</v>
      </c>
      <c r="U21" s="16"/>
      <c r="V21" s="16"/>
      <c r="Y21" s="16">
        <v>18.0</v>
      </c>
      <c r="Z21" s="23">
        <v>0.0</v>
      </c>
      <c r="AA21" s="16"/>
      <c r="AB21" s="23">
        <v>0.0</v>
      </c>
      <c r="AC21" s="16"/>
      <c r="AD21" s="23">
        <v>0.0</v>
      </c>
      <c r="AE21" s="16"/>
      <c r="AF21" s="23">
        <v>0.0</v>
      </c>
      <c r="AG21" s="16"/>
      <c r="AH21" s="16"/>
    </row>
    <row r="22" ht="15.75" customHeight="1">
      <c r="A22" s="16">
        <v>19.0</v>
      </c>
      <c r="B22" s="23">
        <v>3.0</v>
      </c>
      <c r="C22" s="16"/>
      <c r="D22" s="23">
        <v>0.0</v>
      </c>
      <c r="E22" s="16"/>
      <c r="F22" s="23">
        <v>2.0</v>
      </c>
      <c r="G22" s="16"/>
      <c r="H22" s="23">
        <v>0.0</v>
      </c>
      <c r="I22" s="16"/>
      <c r="J22" s="16"/>
      <c r="M22" s="16">
        <v>19.0</v>
      </c>
      <c r="N22" s="23">
        <v>3.0</v>
      </c>
      <c r="O22" s="16"/>
      <c r="P22" s="23">
        <v>1.0</v>
      </c>
      <c r="Q22" s="16"/>
      <c r="R22" s="23">
        <v>2.0</v>
      </c>
      <c r="S22" s="16"/>
      <c r="T22" s="23">
        <v>0.0</v>
      </c>
      <c r="U22" s="16"/>
      <c r="V22" s="16"/>
      <c r="Y22" s="16">
        <v>19.0</v>
      </c>
      <c r="Z22" s="23">
        <v>0.0</v>
      </c>
      <c r="AA22" s="16"/>
      <c r="AB22" s="23">
        <v>0.0</v>
      </c>
      <c r="AC22" s="16"/>
      <c r="AD22" s="23">
        <v>0.0</v>
      </c>
      <c r="AE22" s="16"/>
      <c r="AF22" s="23">
        <v>0.0</v>
      </c>
      <c r="AG22" s="16"/>
      <c r="AH22" s="16"/>
    </row>
    <row r="23" ht="15.75" customHeight="1">
      <c r="A23" s="16">
        <v>20.0</v>
      </c>
      <c r="B23" s="23">
        <v>3.0</v>
      </c>
      <c r="C23" s="16"/>
      <c r="D23" s="23">
        <v>0.0</v>
      </c>
      <c r="E23" s="16"/>
      <c r="F23" s="23">
        <v>2.0</v>
      </c>
      <c r="G23" s="16"/>
      <c r="H23" s="23">
        <v>0.0</v>
      </c>
      <c r="I23" s="16"/>
      <c r="J23" s="16"/>
      <c r="M23" s="16">
        <v>20.0</v>
      </c>
      <c r="N23" s="23">
        <v>3.0</v>
      </c>
      <c r="O23" s="16"/>
      <c r="P23" s="23">
        <v>1.0</v>
      </c>
      <c r="Q23" s="16"/>
      <c r="R23" s="23">
        <v>2.0</v>
      </c>
      <c r="S23" s="16"/>
      <c r="T23" s="23">
        <v>0.0</v>
      </c>
      <c r="U23" s="16"/>
      <c r="V23" s="16"/>
      <c r="Y23" s="16">
        <v>20.0</v>
      </c>
      <c r="Z23" s="23">
        <v>0.0</v>
      </c>
      <c r="AA23" s="16"/>
      <c r="AB23" s="23">
        <v>0.0</v>
      </c>
      <c r="AC23" s="16"/>
      <c r="AD23" s="23">
        <v>0.0</v>
      </c>
      <c r="AE23" s="16"/>
      <c r="AF23" s="23">
        <v>0.0</v>
      </c>
      <c r="AG23" s="16"/>
      <c r="AH23" s="16"/>
    </row>
    <row r="24" ht="15.75" customHeight="1">
      <c r="A24" s="16">
        <v>21.0</v>
      </c>
      <c r="B24" s="23">
        <v>3.0</v>
      </c>
      <c r="C24" s="16"/>
      <c r="D24" s="23">
        <v>0.0</v>
      </c>
      <c r="E24" s="16"/>
      <c r="F24" s="23">
        <v>2.0</v>
      </c>
      <c r="G24" s="16"/>
      <c r="H24" s="23">
        <v>0.0</v>
      </c>
      <c r="I24" s="16"/>
      <c r="J24" s="16"/>
      <c r="M24" s="16">
        <v>21.0</v>
      </c>
      <c r="N24" s="23">
        <v>1.0</v>
      </c>
      <c r="O24" s="16"/>
      <c r="P24" s="23">
        <v>1.0</v>
      </c>
      <c r="Q24" s="16"/>
      <c r="R24" s="23">
        <v>1.0</v>
      </c>
      <c r="S24" s="16"/>
      <c r="T24" s="23">
        <v>0.0</v>
      </c>
      <c r="U24" s="16"/>
      <c r="V24" s="16"/>
      <c r="Y24" s="16">
        <v>21.0</v>
      </c>
      <c r="Z24" s="23">
        <v>0.0</v>
      </c>
      <c r="AA24" s="16"/>
      <c r="AB24" s="23">
        <v>0.0</v>
      </c>
      <c r="AC24" s="16"/>
      <c r="AD24" s="23">
        <v>0.0</v>
      </c>
      <c r="AE24" s="16"/>
      <c r="AF24" s="23">
        <v>0.0</v>
      </c>
      <c r="AG24" s="16"/>
      <c r="AH24" s="16"/>
    </row>
    <row r="25" ht="15.75" customHeight="1">
      <c r="A25" s="16">
        <v>22.0</v>
      </c>
      <c r="B25" s="23">
        <v>3.0</v>
      </c>
      <c r="C25" s="16"/>
      <c r="D25" s="23">
        <v>0.0</v>
      </c>
      <c r="E25" s="16"/>
      <c r="F25" s="23">
        <v>2.0</v>
      </c>
      <c r="G25" s="16"/>
      <c r="H25" s="23">
        <v>0.0</v>
      </c>
      <c r="I25" s="16"/>
      <c r="J25" s="16"/>
      <c r="M25" s="16">
        <v>22.0</v>
      </c>
      <c r="N25" s="23">
        <v>1.0</v>
      </c>
      <c r="O25" s="16"/>
      <c r="P25" s="23">
        <v>1.0</v>
      </c>
      <c r="Q25" s="16"/>
      <c r="R25" s="23">
        <v>1.0</v>
      </c>
      <c r="S25" s="16"/>
      <c r="T25" s="23">
        <v>0.0</v>
      </c>
      <c r="U25" s="16"/>
      <c r="V25" s="16"/>
      <c r="Y25" s="16">
        <v>22.0</v>
      </c>
      <c r="Z25" s="23">
        <v>0.0</v>
      </c>
      <c r="AA25" s="16"/>
      <c r="AB25" s="23">
        <v>0.0</v>
      </c>
      <c r="AC25" s="16"/>
      <c r="AD25" s="23">
        <v>0.0</v>
      </c>
      <c r="AE25" s="16"/>
      <c r="AF25" s="23">
        <v>0.0</v>
      </c>
      <c r="AG25" s="16"/>
      <c r="AH25" s="16"/>
    </row>
    <row r="26" ht="15.75" customHeight="1">
      <c r="A26" s="16">
        <v>23.0</v>
      </c>
      <c r="B26" s="23">
        <v>3.0</v>
      </c>
      <c r="C26" s="16"/>
      <c r="D26" s="23">
        <v>0.0</v>
      </c>
      <c r="E26" s="16"/>
      <c r="F26" s="23">
        <v>2.0</v>
      </c>
      <c r="G26" s="23">
        <v>1.0</v>
      </c>
      <c r="H26" s="23">
        <v>0.0</v>
      </c>
      <c r="I26" s="16"/>
      <c r="J26" s="16"/>
      <c r="M26" s="16">
        <v>23.0</v>
      </c>
      <c r="N26" s="23">
        <v>1.0</v>
      </c>
      <c r="O26" s="16"/>
      <c r="P26" s="23">
        <v>1.0</v>
      </c>
      <c r="Q26" s="16"/>
      <c r="R26" s="23">
        <v>1.0</v>
      </c>
      <c r="S26" s="23">
        <v>1.0</v>
      </c>
      <c r="T26" s="23">
        <v>0.0</v>
      </c>
      <c r="U26" s="16"/>
      <c r="V26" s="16"/>
      <c r="Y26" s="16">
        <v>23.0</v>
      </c>
      <c r="Z26" s="23">
        <v>0.0</v>
      </c>
      <c r="AA26" s="16"/>
      <c r="AB26" s="23">
        <v>0.0</v>
      </c>
      <c r="AC26" s="16"/>
      <c r="AD26" s="23">
        <v>0.0</v>
      </c>
      <c r="AE26" s="16"/>
      <c r="AF26" s="23">
        <v>0.0</v>
      </c>
      <c r="AG26" s="16"/>
      <c r="AH26" s="16"/>
    </row>
    <row r="27" ht="15.75" customHeight="1">
      <c r="A27" s="16">
        <v>24.0</v>
      </c>
      <c r="B27" s="23">
        <v>3.0</v>
      </c>
      <c r="C27" s="16"/>
      <c r="D27" s="23">
        <v>0.0</v>
      </c>
      <c r="E27" s="16"/>
      <c r="F27" s="23">
        <v>3.0</v>
      </c>
      <c r="G27" s="16"/>
      <c r="H27" s="23">
        <v>0.0</v>
      </c>
      <c r="I27" s="16"/>
      <c r="J27" s="16"/>
      <c r="M27" s="16">
        <v>24.0</v>
      </c>
      <c r="N27" s="23">
        <v>1.0</v>
      </c>
      <c r="O27" s="16"/>
      <c r="P27" s="23">
        <v>1.0</v>
      </c>
      <c r="Q27" s="16"/>
      <c r="R27" s="23">
        <v>2.0</v>
      </c>
      <c r="S27" s="16"/>
      <c r="T27" s="23">
        <v>0.0</v>
      </c>
      <c r="U27" s="16"/>
      <c r="V27" s="16"/>
      <c r="Y27" s="16">
        <v>24.0</v>
      </c>
      <c r="Z27" s="23">
        <v>0.0</v>
      </c>
      <c r="AA27" s="16"/>
      <c r="AB27" s="23">
        <v>0.0</v>
      </c>
      <c r="AC27" s="16"/>
      <c r="AD27" s="23">
        <v>0.0</v>
      </c>
      <c r="AE27" s="16"/>
      <c r="AF27" s="23">
        <v>0.0</v>
      </c>
      <c r="AG27" s="16"/>
      <c r="AH27" s="16"/>
    </row>
    <row r="28" ht="15.75" customHeight="1">
      <c r="A28" s="16">
        <v>25.0</v>
      </c>
      <c r="B28" s="23">
        <v>2.0</v>
      </c>
      <c r="C28" s="16"/>
      <c r="D28" s="23">
        <v>0.0</v>
      </c>
      <c r="E28" s="23">
        <v>1.0</v>
      </c>
      <c r="F28" s="23">
        <v>3.0</v>
      </c>
      <c r="G28" s="16"/>
      <c r="H28" s="23">
        <v>0.0</v>
      </c>
      <c r="I28" s="16"/>
      <c r="J28" s="16"/>
      <c r="M28" s="16">
        <v>25.0</v>
      </c>
      <c r="N28" s="23">
        <v>1.0</v>
      </c>
      <c r="O28" s="16"/>
      <c r="P28" s="23">
        <v>1.0</v>
      </c>
      <c r="Q28" s="23">
        <v>1.0</v>
      </c>
      <c r="R28" s="23">
        <v>2.0</v>
      </c>
      <c r="S28" s="16"/>
      <c r="T28" s="23">
        <v>0.0</v>
      </c>
      <c r="U28" s="16"/>
      <c r="V28" s="16"/>
      <c r="Y28" s="16">
        <v>25.0</v>
      </c>
      <c r="Z28" s="23">
        <v>0.0</v>
      </c>
      <c r="AA28" s="16"/>
      <c r="AB28" s="23">
        <v>0.0</v>
      </c>
      <c r="AC28" s="16"/>
      <c r="AD28" s="23">
        <v>0.0</v>
      </c>
      <c r="AE28" s="16"/>
      <c r="AF28" s="23">
        <v>0.0</v>
      </c>
      <c r="AG28" s="16"/>
      <c r="AH28" s="16"/>
    </row>
    <row r="29" ht="15.75" customHeight="1">
      <c r="A29" s="16">
        <v>26.0</v>
      </c>
      <c r="B29" s="23">
        <v>2.0</v>
      </c>
      <c r="C29" s="16"/>
      <c r="D29" s="23">
        <v>1.0</v>
      </c>
      <c r="E29" s="16"/>
      <c r="F29" s="23">
        <v>3.0</v>
      </c>
      <c r="G29" s="16"/>
      <c r="H29" s="23">
        <v>0.0</v>
      </c>
      <c r="I29" s="16"/>
      <c r="J29" s="16"/>
      <c r="M29" s="16">
        <v>26.0</v>
      </c>
      <c r="N29" s="23">
        <v>1.0</v>
      </c>
      <c r="O29" s="23">
        <v>1.0</v>
      </c>
      <c r="P29" s="23">
        <v>1.0</v>
      </c>
      <c r="Q29" s="23">
        <v>1.0</v>
      </c>
      <c r="R29" s="23">
        <v>2.0</v>
      </c>
      <c r="S29" s="23">
        <v>1.0</v>
      </c>
      <c r="T29" s="23">
        <v>0.0</v>
      </c>
      <c r="U29" s="16"/>
      <c r="V29" s="16"/>
      <c r="Y29" s="16">
        <v>26.0</v>
      </c>
      <c r="Z29" s="23">
        <v>0.0</v>
      </c>
      <c r="AA29" s="16"/>
      <c r="AB29" s="23">
        <v>0.0</v>
      </c>
      <c r="AC29" s="16"/>
      <c r="AD29" s="23">
        <v>0.0</v>
      </c>
      <c r="AE29" s="16"/>
      <c r="AF29" s="23">
        <v>0.0</v>
      </c>
      <c r="AG29" s="16"/>
      <c r="AH29" s="16"/>
    </row>
    <row r="30" ht="15.75" customHeight="1">
      <c r="A30" s="16">
        <v>27.0</v>
      </c>
      <c r="B30" s="23">
        <v>2.0</v>
      </c>
      <c r="C30" s="16"/>
      <c r="D30" s="23">
        <v>0.0</v>
      </c>
      <c r="E30" s="16"/>
      <c r="F30" s="23">
        <v>1.0</v>
      </c>
      <c r="G30" s="16"/>
      <c r="H30" s="23">
        <v>0.0</v>
      </c>
      <c r="I30" s="16"/>
      <c r="J30" s="16"/>
      <c r="M30" s="16">
        <v>27.0</v>
      </c>
      <c r="N30" s="23">
        <v>2.0</v>
      </c>
      <c r="O30" s="16"/>
      <c r="P30" s="23">
        <v>2.0</v>
      </c>
      <c r="Q30" s="16"/>
      <c r="R30" s="23">
        <v>2.0</v>
      </c>
      <c r="S30" s="16"/>
      <c r="T30" s="16"/>
      <c r="U30" s="16"/>
      <c r="V30" s="16"/>
      <c r="Y30" s="16">
        <v>27.0</v>
      </c>
      <c r="Z30" s="23">
        <v>0.0</v>
      </c>
      <c r="AA30" s="16"/>
      <c r="AB30" s="23">
        <v>0.0</v>
      </c>
      <c r="AC30" s="16"/>
      <c r="AD30" s="23">
        <v>0.0</v>
      </c>
      <c r="AE30" s="16"/>
      <c r="AF30" s="23">
        <v>0.0</v>
      </c>
      <c r="AG30" s="16"/>
      <c r="AH30" s="16"/>
    </row>
    <row r="31" ht="15.75" customHeight="1">
      <c r="A31" s="16">
        <v>28.0</v>
      </c>
      <c r="B31" s="23">
        <v>2.0</v>
      </c>
      <c r="C31" s="16"/>
      <c r="D31" s="23">
        <v>0.0</v>
      </c>
      <c r="E31" s="16"/>
      <c r="F31" s="23">
        <v>1.0</v>
      </c>
      <c r="G31" s="16"/>
      <c r="H31" s="23">
        <v>0.0</v>
      </c>
      <c r="I31" s="16"/>
      <c r="J31" s="16"/>
      <c r="M31" s="16">
        <v>28.0</v>
      </c>
      <c r="N31" s="23">
        <v>2.0</v>
      </c>
      <c r="O31" s="16"/>
      <c r="P31" s="23">
        <v>2.0</v>
      </c>
      <c r="Q31" s="16"/>
      <c r="R31" s="23">
        <v>2.0</v>
      </c>
      <c r="S31" s="16"/>
      <c r="T31" s="16"/>
      <c r="U31" s="16"/>
      <c r="V31" s="16"/>
      <c r="Y31" s="16">
        <v>28.0</v>
      </c>
      <c r="Z31" s="23">
        <v>0.0</v>
      </c>
      <c r="AA31" s="16"/>
      <c r="AB31" s="23">
        <v>0.0</v>
      </c>
      <c r="AC31" s="16"/>
      <c r="AD31" s="23">
        <v>0.0</v>
      </c>
      <c r="AE31" s="16"/>
      <c r="AF31" s="23">
        <v>0.0</v>
      </c>
      <c r="AG31" s="16"/>
      <c r="AH31" s="16"/>
    </row>
    <row r="32" ht="15.75" customHeight="1">
      <c r="A32" s="16">
        <v>29.0</v>
      </c>
      <c r="B32" s="23">
        <v>2.0</v>
      </c>
      <c r="C32" s="23">
        <v>1.0</v>
      </c>
      <c r="D32" s="23">
        <v>0.0</v>
      </c>
      <c r="E32" s="16"/>
      <c r="F32" s="23">
        <v>1.0</v>
      </c>
      <c r="G32" s="16"/>
      <c r="H32" s="23">
        <v>0.0</v>
      </c>
      <c r="I32" s="16"/>
      <c r="J32" s="16"/>
      <c r="M32" s="16">
        <v>29.0</v>
      </c>
      <c r="N32" s="23">
        <v>2.0</v>
      </c>
      <c r="O32" s="16"/>
      <c r="P32" s="23">
        <v>1.0</v>
      </c>
      <c r="Q32" s="16"/>
      <c r="R32" s="23">
        <v>2.0</v>
      </c>
      <c r="S32" s="16"/>
      <c r="T32" s="16"/>
      <c r="U32" s="16"/>
      <c r="V32" s="16"/>
      <c r="Y32" s="16">
        <v>29.0</v>
      </c>
      <c r="Z32" s="23">
        <v>0.0</v>
      </c>
      <c r="AA32" s="16"/>
      <c r="AB32" s="23">
        <v>0.0</v>
      </c>
      <c r="AC32" s="16"/>
      <c r="AD32" s="23">
        <v>0.0</v>
      </c>
      <c r="AE32" s="16"/>
      <c r="AF32" s="23">
        <v>0.0</v>
      </c>
      <c r="AG32" s="16"/>
      <c r="AH32" s="16"/>
    </row>
    <row r="33" ht="15.75" customHeight="1">
      <c r="A33" s="16">
        <v>30.0</v>
      </c>
      <c r="B33" s="23">
        <v>3.0</v>
      </c>
      <c r="C33" s="16"/>
      <c r="D33" s="23">
        <v>0.0</v>
      </c>
      <c r="E33" s="16"/>
      <c r="F33" s="23">
        <v>1.0</v>
      </c>
      <c r="G33" s="16"/>
      <c r="H33" s="23">
        <v>0.0</v>
      </c>
      <c r="I33" s="16"/>
      <c r="J33" s="16"/>
      <c r="M33" s="16">
        <v>30.0</v>
      </c>
      <c r="N33" s="23">
        <v>2.0</v>
      </c>
      <c r="O33" s="23">
        <v>1.0</v>
      </c>
      <c r="P33" s="23">
        <v>1.0</v>
      </c>
      <c r="Q33" s="16"/>
      <c r="R33" s="23">
        <v>2.0</v>
      </c>
      <c r="S33" s="16"/>
      <c r="T33" s="16"/>
      <c r="U33" s="16"/>
      <c r="V33" s="16"/>
      <c r="Y33" s="16">
        <v>30.0</v>
      </c>
      <c r="Z33" s="23">
        <v>0.0</v>
      </c>
      <c r="AA33" s="16"/>
      <c r="AB33" s="23">
        <v>0.0</v>
      </c>
      <c r="AC33" s="16"/>
      <c r="AD33" s="23">
        <v>0.0</v>
      </c>
      <c r="AE33" s="16"/>
      <c r="AF33" s="23">
        <v>0.0</v>
      </c>
      <c r="AG33" s="16"/>
      <c r="AH33" s="16"/>
    </row>
    <row r="34" ht="15.75" customHeight="1">
      <c r="A34" s="16">
        <v>31.0</v>
      </c>
      <c r="B34" s="10"/>
      <c r="C34" s="10"/>
      <c r="D34" s="10"/>
      <c r="E34" s="10"/>
      <c r="F34" s="10"/>
      <c r="G34" s="10"/>
      <c r="H34" s="10"/>
      <c r="I34" s="10"/>
      <c r="J34" s="10"/>
      <c r="M34" s="16">
        <v>31.0</v>
      </c>
      <c r="N34" s="10"/>
      <c r="O34" s="10"/>
      <c r="P34" s="10"/>
      <c r="Q34" s="10"/>
      <c r="R34" s="10"/>
      <c r="S34" s="10"/>
      <c r="T34" s="10"/>
      <c r="U34" s="10"/>
      <c r="V34" s="10"/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J35" si="1">SUM(B4:B34)</f>
        <v>92</v>
      </c>
      <c r="C35" s="28">
        <f t="shared" si="1"/>
        <v>6</v>
      </c>
      <c r="D35" s="28">
        <f t="shared" si="1"/>
        <v>21</v>
      </c>
      <c r="E35" s="28">
        <f t="shared" si="1"/>
        <v>3</v>
      </c>
      <c r="F35" s="28">
        <f t="shared" si="1"/>
        <v>48</v>
      </c>
      <c r="G35" s="28">
        <f t="shared" si="1"/>
        <v>3</v>
      </c>
      <c r="H35" s="28">
        <f t="shared" si="1"/>
        <v>0</v>
      </c>
      <c r="I35" s="28">
        <f t="shared" si="1"/>
        <v>0</v>
      </c>
      <c r="J35" s="28">
        <f t="shared" si="1"/>
        <v>0</v>
      </c>
      <c r="M35" s="28" t="s">
        <v>11</v>
      </c>
      <c r="N35" s="28">
        <f t="shared" ref="N35:V35" si="2">SUM(N4:N34)</f>
        <v>47</v>
      </c>
      <c r="O35" s="28">
        <f t="shared" si="2"/>
        <v>6</v>
      </c>
      <c r="P35" s="28">
        <f t="shared" si="2"/>
        <v>34</v>
      </c>
      <c r="Q35" s="28">
        <f t="shared" si="2"/>
        <v>4</v>
      </c>
      <c r="R35" s="28">
        <f t="shared" si="2"/>
        <v>47</v>
      </c>
      <c r="S35" s="28">
        <f t="shared" si="2"/>
        <v>3</v>
      </c>
      <c r="T35" s="28">
        <f t="shared" si="2"/>
        <v>0</v>
      </c>
      <c r="U35" s="28">
        <f t="shared" si="2"/>
        <v>0</v>
      </c>
      <c r="V35" s="28">
        <f t="shared" si="2"/>
        <v>0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0</v>
      </c>
    </row>
    <row r="36" ht="15.75" customHeight="1">
      <c r="A36" s="29" t="s">
        <v>12</v>
      </c>
      <c r="B36" s="28" t="str">
        <f t="shared" ref="B36:I36" si="4">(B35/$J$35)*1000</f>
        <v>#DIV/0!</v>
      </c>
      <c r="C36" s="28" t="str">
        <f t="shared" si="4"/>
        <v>#DIV/0!</v>
      </c>
      <c r="D36" s="28" t="str">
        <f t="shared" si="4"/>
        <v>#DIV/0!</v>
      </c>
      <c r="E36" s="28" t="str">
        <f t="shared" si="4"/>
        <v>#DIV/0!</v>
      </c>
      <c r="F36" s="28" t="str">
        <f t="shared" si="4"/>
        <v>#DIV/0!</v>
      </c>
      <c r="G36" s="28" t="str">
        <f t="shared" si="4"/>
        <v>#DIV/0!</v>
      </c>
      <c r="H36" s="28" t="str">
        <f t="shared" si="4"/>
        <v>#DIV/0!</v>
      </c>
      <c r="I36" s="28" t="str">
        <f t="shared" si="4"/>
        <v>#DIV/0!</v>
      </c>
      <c r="J36" s="28" t="str">
        <f>(J35/$J$35)*100</f>
        <v>#DIV/0!</v>
      </c>
      <c r="M36" s="29" t="s">
        <v>12</v>
      </c>
      <c r="N36" s="28" t="str">
        <f t="shared" ref="N36:U36" si="5">(N35/$V$35)*100</f>
        <v>#DIV/0!</v>
      </c>
      <c r="O36" s="28" t="str">
        <f t="shared" si="5"/>
        <v>#DIV/0!</v>
      </c>
      <c r="P36" s="28" t="str">
        <f t="shared" si="5"/>
        <v>#DIV/0!</v>
      </c>
      <c r="Q36" s="28" t="str">
        <f t="shared" si="5"/>
        <v>#DIV/0!</v>
      </c>
      <c r="R36" s="28" t="str">
        <f t="shared" si="5"/>
        <v>#DIV/0!</v>
      </c>
      <c r="S36" s="28" t="str">
        <f t="shared" si="5"/>
        <v>#DIV/0!</v>
      </c>
      <c r="T36" s="28" t="str">
        <f t="shared" si="5"/>
        <v>#DIV/0!</v>
      </c>
      <c r="U36" s="28" t="str">
        <f t="shared" si="5"/>
        <v>#DIV/0!</v>
      </c>
      <c r="V36" s="28"/>
      <c r="Y36" s="29" t="s">
        <v>12</v>
      </c>
      <c r="Z36" s="28" t="str">
        <f t="shared" ref="Z36:AG36" si="6">(Z35/$AH$35)*100</f>
        <v>#DIV/0!</v>
      </c>
      <c r="AA36" s="28" t="str">
        <f t="shared" si="6"/>
        <v>#DIV/0!</v>
      </c>
      <c r="AB36" s="28" t="str">
        <f t="shared" si="6"/>
        <v>#DIV/0!</v>
      </c>
      <c r="AC36" s="28" t="str">
        <f t="shared" si="6"/>
        <v>#DIV/0!</v>
      </c>
      <c r="AD36" s="28" t="str">
        <f t="shared" si="6"/>
        <v>#DIV/0!</v>
      </c>
      <c r="AE36" s="28" t="str">
        <f t="shared" si="6"/>
        <v>#DIV/0!</v>
      </c>
      <c r="AF36" s="28" t="str">
        <f t="shared" si="6"/>
        <v>#DIV/0!</v>
      </c>
      <c r="AG36" s="28" t="str">
        <f t="shared" si="6"/>
        <v>#DIV/0!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A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1.22" defaultRowHeight="15.0"/>
  <cols>
    <col customWidth="1" min="1" max="9" width="10.44"/>
    <col customWidth="1" min="10" max="10" width="12.11"/>
    <col customWidth="1" min="11" max="29" width="10.44"/>
    <col customWidth="1" min="30" max="34" width="11.11"/>
  </cols>
  <sheetData>
    <row r="1" ht="15.75" customHeight="1">
      <c r="A1" s="47"/>
      <c r="B1" s="30" t="s">
        <v>13</v>
      </c>
      <c r="C1" s="2"/>
      <c r="D1" s="2"/>
      <c r="E1" s="2"/>
      <c r="F1" s="2"/>
      <c r="G1" s="2"/>
      <c r="H1" s="2"/>
      <c r="I1" s="2"/>
      <c r="J1" s="3"/>
      <c r="M1" s="4" t="s">
        <v>1</v>
      </c>
      <c r="N1" s="2"/>
      <c r="O1" s="2"/>
      <c r="P1" s="2"/>
      <c r="Q1" s="2"/>
      <c r="R1" s="2"/>
      <c r="S1" s="2"/>
      <c r="T1" s="2"/>
      <c r="U1" s="2"/>
      <c r="V1" s="3"/>
      <c r="Y1" s="5" t="s">
        <v>2</v>
      </c>
      <c r="Z1" s="2"/>
      <c r="AA1" s="2"/>
      <c r="AB1" s="2"/>
      <c r="AC1" s="2"/>
      <c r="AD1" s="2"/>
      <c r="AE1" s="2"/>
      <c r="AF1" s="2"/>
      <c r="AG1" s="2"/>
      <c r="AH1" s="3"/>
    </row>
    <row r="2" ht="15.75" customHeight="1">
      <c r="A2" s="6"/>
      <c r="B2" s="7" t="s">
        <v>3</v>
      </c>
      <c r="C2" s="8"/>
      <c r="D2" s="7" t="s">
        <v>4</v>
      </c>
      <c r="E2" s="8"/>
      <c r="F2" s="7" t="s">
        <v>5</v>
      </c>
      <c r="G2" s="8"/>
      <c r="H2" s="7" t="s">
        <v>6</v>
      </c>
      <c r="I2" s="8"/>
      <c r="J2" s="6" t="s">
        <v>7</v>
      </c>
      <c r="M2" s="6"/>
      <c r="N2" s="7" t="s">
        <v>3</v>
      </c>
      <c r="O2" s="8"/>
      <c r="P2" s="7" t="s">
        <v>4</v>
      </c>
      <c r="Q2" s="8"/>
      <c r="R2" s="7" t="s">
        <v>5</v>
      </c>
      <c r="S2" s="8"/>
      <c r="T2" s="7" t="s">
        <v>6</v>
      </c>
      <c r="U2" s="8"/>
      <c r="V2" s="6" t="s">
        <v>7</v>
      </c>
      <c r="Y2" s="6"/>
      <c r="Z2" s="7" t="s">
        <v>3</v>
      </c>
      <c r="AA2" s="8"/>
      <c r="AB2" s="7" t="s">
        <v>4</v>
      </c>
      <c r="AC2" s="8"/>
      <c r="AD2" s="7" t="s">
        <v>5</v>
      </c>
      <c r="AE2" s="8"/>
      <c r="AF2" s="7" t="s">
        <v>6</v>
      </c>
      <c r="AG2" s="8"/>
      <c r="AH2" s="6" t="s">
        <v>7</v>
      </c>
    </row>
    <row r="3" ht="15.75" customHeight="1">
      <c r="A3" s="6" t="s">
        <v>8</v>
      </c>
      <c r="B3" s="9" t="s">
        <v>9</v>
      </c>
      <c r="C3" s="9" t="s">
        <v>10</v>
      </c>
      <c r="D3" s="9" t="s">
        <v>9</v>
      </c>
      <c r="E3" s="9" t="s">
        <v>10</v>
      </c>
      <c r="F3" s="9" t="s">
        <v>9</v>
      </c>
      <c r="G3" s="9" t="s">
        <v>10</v>
      </c>
      <c r="H3" s="9" t="s">
        <v>9</v>
      </c>
      <c r="I3" s="9" t="s">
        <v>10</v>
      </c>
      <c r="J3" s="6"/>
      <c r="M3" s="6" t="s">
        <v>8</v>
      </c>
      <c r="N3" s="9" t="s">
        <v>9</v>
      </c>
      <c r="O3" s="9" t="s">
        <v>10</v>
      </c>
      <c r="P3" s="9" t="s">
        <v>9</v>
      </c>
      <c r="Q3" s="9" t="s">
        <v>10</v>
      </c>
      <c r="R3" s="9" t="s">
        <v>9</v>
      </c>
      <c r="S3" s="9" t="s">
        <v>10</v>
      </c>
      <c r="T3" s="9" t="s">
        <v>9</v>
      </c>
      <c r="U3" s="9" t="s">
        <v>10</v>
      </c>
      <c r="V3" s="6"/>
      <c r="Y3" s="6" t="s">
        <v>8</v>
      </c>
      <c r="Z3" s="9" t="s">
        <v>9</v>
      </c>
      <c r="AA3" s="9" t="s">
        <v>10</v>
      </c>
      <c r="AB3" s="9" t="s">
        <v>9</v>
      </c>
      <c r="AC3" s="9" t="s">
        <v>10</v>
      </c>
      <c r="AD3" s="9" t="s">
        <v>9</v>
      </c>
      <c r="AE3" s="9" t="s">
        <v>10</v>
      </c>
      <c r="AF3" s="9" t="s">
        <v>9</v>
      </c>
      <c r="AG3" s="9" t="s">
        <v>10</v>
      </c>
      <c r="AH3" s="6"/>
    </row>
    <row r="4" ht="15.75" customHeight="1">
      <c r="A4" s="16">
        <v>1.0</v>
      </c>
      <c r="B4" s="23">
        <v>3.0</v>
      </c>
      <c r="C4" s="16"/>
      <c r="D4" s="23">
        <v>0.0</v>
      </c>
      <c r="E4" s="16"/>
      <c r="F4" s="23">
        <v>0.0</v>
      </c>
      <c r="G4" s="23">
        <v>1.0</v>
      </c>
      <c r="H4" s="23">
        <v>0.0</v>
      </c>
      <c r="I4" s="16"/>
      <c r="J4" s="23">
        <v>19.0</v>
      </c>
      <c r="M4" s="16">
        <v>1.0</v>
      </c>
      <c r="N4" s="23">
        <v>2.0</v>
      </c>
      <c r="O4" s="16"/>
      <c r="P4" s="23">
        <v>1.0</v>
      </c>
      <c r="Q4" s="23">
        <v>1.0</v>
      </c>
      <c r="R4" s="23">
        <v>2.0</v>
      </c>
      <c r="S4" s="23">
        <v>1.0</v>
      </c>
      <c r="T4" s="23">
        <v>0.0</v>
      </c>
      <c r="U4" s="16"/>
      <c r="V4" s="23">
        <v>10.0</v>
      </c>
      <c r="Y4" s="16">
        <v>1.0</v>
      </c>
      <c r="Z4" s="23">
        <v>0.0</v>
      </c>
      <c r="AA4" s="16"/>
      <c r="AB4" s="23">
        <v>0.0</v>
      </c>
      <c r="AC4" s="16"/>
      <c r="AD4" s="23">
        <v>0.0</v>
      </c>
      <c r="AE4" s="16"/>
      <c r="AF4" s="23">
        <v>0.0</v>
      </c>
      <c r="AG4" s="16"/>
      <c r="AH4" s="16"/>
    </row>
    <row r="5" ht="15.75" customHeight="1">
      <c r="A5" s="16">
        <v>2.0</v>
      </c>
      <c r="B5" s="23">
        <v>0.0</v>
      </c>
      <c r="C5" s="16"/>
      <c r="D5" s="23">
        <v>0.0</v>
      </c>
      <c r="E5" s="16"/>
      <c r="F5" s="23">
        <v>1.0</v>
      </c>
      <c r="G5" s="16"/>
      <c r="H5" s="23">
        <v>0.0</v>
      </c>
      <c r="I5" s="16"/>
      <c r="J5" s="23">
        <v>19.0</v>
      </c>
      <c r="M5" s="16">
        <v>2.0</v>
      </c>
      <c r="N5" s="23">
        <v>2.0</v>
      </c>
      <c r="O5" s="16"/>
      <c r="P5" s="23">
        <v>3.0</v>
      </c>
      <c r="Q5" s="16"/>
      <c r="R5" s="23">
        <v>4.0</v>
      </c>
      <c r="S5" s="16"/>
      <c r="T5" s="23">
        <v>0.0</v>
      </c>
      <c r="U5" s="16"/>
      <c r="V5" s="23">
        <v>10.0</v>
      </c>
      <c r="Y5" s="16">
        <v>2.0</v>
      </c>
      <c r="Z5" s="23">
        <v>0.0</v>
      </c>
      <c r="AA5" s="16"/>
      <c r="AB5" s="23">
        <v>0.0</v>
      </c>
      <c r="AC5" s="16"/>
      <c r="AD5" s="23">
        <v>0.0</v>
      </c>
      <c r="AE5" s="16"/>
      <c r="AF5" s="23">
        <v>0.0</v>
      </c>
      <c r="AG5" s="16"/>
      <c r="AH5" s="16"/>
    </row>
    <row r="6" ht="15.75" customHeight="1">
      <c r="A6" s="16">
        <v>3.0</v>
      </c>
      <c r="B6" s="23">
        <v>0.0</v>
      </c>
      <c r="C6" s="16"/>
      <c r="D6" s="23">
        <v>0.0</v>
      </c>
      <c r="E6" s="16"/>
      <c r="F6" s="23">
        <v>1.0</v>
      </c>
      <c r="G6" s="23">
        <v>1.0</v>
      </c>
      <c r="H6" s="23">
        <v>0.0</v>
      </c>
      <c r="I6" s="16"/>
      <c r="J6" s="23">
        <v>20.0</v>
      </c>
      <c r="M6" s="16">
        <v>3.0</v>
      </c>
      <c r="N6" s="23">
        <v>2.0</v>
      </c>
      <c r="O6" s="16"/>
      <c r="P6" s="23">
        <v>2.0</v>
      </c>
      <c r="Q6" s="16"/>
      <c r="R6" s="23">
        <v>3.0</v>
      </c>
      <c r="S6" s="16"/>
      <c r="T6" s="23">
        <v>0.0</v>
      </c>
      <c r="U6" s="16"/>
      <c r="V6" s="23">
        <v>10.0</v>
      </c>
      <c r="Y6" s="16">
        <v>3.0</v>
      </c>
      <c r="Z6" s="23">
        <v>0.0</v>
      </c>
      <c r="AA6" s="16"/>
      <c r="AB6" s="23">
        <v>0.0</v>
      </c>
      <c r="AC6" s="16"/>
      <c r="AD6" s="23">
        <v>0.0</v>
      </c>
      <c r="AE6" s="16"/>
      <c r="AF6" s="23">
        <v>0.0</v>
      </c>
      <c r="AG6" s="16"/>
      <c r="AH6" s="16"/>
    </row>
    <row r="7" ht="15.75" customHeight="1">
      <c r="A7" s="16">
        <v>4.0</v>
      </c>
      <c r="B7" s="23">
        <v>0.0</v>
      </c>
      <c r="C7" s="16"/>
      <c r="D7" s="23">
        <v>0.0</v>
      </c>
      <c r="E7" s="16"/>
      <c r="F7" s="23">
        <v>2.0</v>
      </c>
      <c r="G7" s="16"/>
      <c r="H7" s="23">
        <v>0.0</v>
      </c>
      <c r="I7" s="16"/>
      <c r="J7" s="23">
        <v>20.0</v>
      </c>
      <c r="M7" s="16">
        <v>4.0</v>
      </c>
      <c r="N7" s="23">
        <v>2.0</v>
      </c>
      <c r="O7" s="16"/>
      <c r="P7" s="23">
        <v>2.0</v>
      </c>
      <c r="Q7" s="16"/>
      <c r="R7" s="23">
        <v>3.0</v>
      </c>
      <c r="S7" s="16"/>
      <c r="T7" s="23">
        <v>0.0</v>
      </c>
      <c r="U7" s="16"/>
      <c r="V7" s="23">
        <v>10.0</v>
      </c>
      <c r="Y7" s="16">
        <v>4.0</v>
      </c>
      <c r="Z7" s="23">
        <v>0.0</v>
      </c>
      <c r="AA7" s="16"/>
      <c r="AB7" s="23">
        <v>0.0</v>
      </c>
      <c r="AC7" s="16"/>
      <c r="AD7" s="23">
        <v>0.0</v>
      </c>
      <c r="AE7" s="16"/>
      <c r="AF7" s="23">
        <v>0.0</v>
      </c>
      <c r="AG7" s="16"/>
      <c r="AH7" s="16"/>
    </row>
    <row r="8" ht="15.75" customHeight="1">
      <c r="A8" s="16">
        <v>5.0</v>
      </c>
      <c r="B8" s="23">
        <v>0.0</v>
      </c>
      <c r="C8" s="16"/>
      <c r="D8" s="23">
        <v>0.0</v>
      </c>
      <c r="E8" s="16"/>
      <c r="F8" s="23">
        <v>1.0</v>
      </c>
      <c r="G8" s="16"/>
      <c r="H8" s="23">
        <v>0.0</v>
      </c>
      <c r="I8" s="16"/>
      <c r="J8" s="23">
        <v>20.0</v>
      </c>
      <c r="M8" s="16">
        <v>5.0</v>
      </c>
      <c r="N8" s="23">
        <v>2.0</v>
      </c>
      <c r="O8" s="16"/>
      <c r="P8" s="23">
        <v>2.0</v>
      </c>
      <c r="Q8" s="16"/>
      <c r="R8" s="23">
        <v>3.0</v>
      </c>
      <c r="S8" s="16"/>
      <c r="T8" s="23">
        <v>0.0</v>
      </c>
      <c r="U8" s="16"/>
      <c r="V8" s="23">
        <v>9.0</v>
      </c>
      <c r="Y8" s="16">
        <v>5.0</v>
      </c>
      <c r="Z8" s="23">
        <v>0.0</v>
      </c>
      <c r="AA8" s="16"/>
      <c r="AB8" s="23">
        <v>0.0</v>
      </c>
      <c r="AC8" s="16"/>
      <c r="AD8" s="23">
        <v>0.0</v>
      </c>
      <c r="AE8" s="16"/>
      <c r="AF8" s="23">
        <v>0.0</v>
      </c>
      <c r="AG8" s="16"/>
      <c r="AH8" s="16"/>
    </row>
    <row r="9" ht="15.75" customHeight="1">
      <c r="A9" s="16">
        <v>6.0</v>
      </c>
      <c r="B9" s="23">
        <v>0.0</v>
      </c>
      <c r="C9" s="16"/>
      <c r="D9" s="23">
        <v>0.0</v>
      </c>
      <c r="E9" s="16"/>
      <c r="F9" s="23">
        <v>1.0</v>
      </c>
      <c r="G9" s="16"/>
      <c r="H9" s="23">
        <v>0.0</v>
      </c>
      <c r="I9" s="16"/>
      <c r="J9" s="23">
        <v>20.0</v>
      </c>
      <c r="M9" s="16">
        <v>6.0</v>
      </c>
      <c r="N9" s="23">
        <v>2.0</v>
      </c>
      <c r="O9" s="16"/>
      <c r="P9" s="23">
        <v>2.0</v>
      </c>
      <c r="Q9" s="16"/>
      <c r="R9" s="23">
        <v>3.0</v>
      </c>
      <c r="S9" s="16"/>
      <c r="T9" s="23">
        <v>0.0</v>
      </c>
      <c r="U9" s="16"/>
      <c r="V9" s="23">
        <v>10.0</v>
      </c>
      <c r="Y9" s="16">
        <v>6.0</v>
      </c>
      <c r="Z9" s="23">
        <v>0.0</v>
      </c>
      <c r="AA9" s="16"/>
      <c r="AB9" s="23">
        <v>0.0</v>
      </c>
      <c r="AC9" s="16"/>
      <c r="AD9" s="23">
        <v>0.0</v>
      </c>
      <c r="AE9" s="16"/>
      <c r="AF9" s="23">
        <v>0.0</v>
      </c>
      <c r="AG9" s="16"/>
      <c r="AH9" s="16"/>
    </row>
    <row r="10" ht="15.75" customHeight="1">
      <c r="A10" s="16">
        <v>7.0</v>
      </c>
      <c r="B10" s="23">
        <v>0.0</v>
      </c>
      <c r="C10" s="16"/>
      <c r="D10" s="23">
        <v>0.0</v>
      </c>
      <c r="E10" s="16"/>
      <c r="F10" s="23">
        <v>1.0</v>
      </c>
      <c r="G10" s="16"/>
      <c r="H10" s="23">
        <v>0.0</v>
      </c>
      <c r="I10" s="16"/>
      <c r="J10" s="23">
        <v>20.0</v>
      </c>
      <c r="M10" s="16">
        <v>7.0</v>
      </c>
      <c r="N10" s="23">
        <v>2.0</v>
      </c>
      <c r="O10" s="16"/>
      <c r="P10" s="23">
        <v>2.0</v>
      </c>
      <c r="Q10" s="16"/>
      <c r="R10" s="23">
        <v>3.0</v>
      </c>
      <c r="S10" s="16"/>
      <c r="T10" s="23">
        <v>0.0</v>
      </c>
      <c r="U10" s="16"/>
      <c r="V10" s="23">
        <v>10.0</v>
      </c>
      <c r="Y10" s="16">
        <v>7.0</v>
      </c>
      <c r="Z10" s="23">
        <v>0.0</v>
      </c>
      <c r="AA10" s="16"/>
      <c r="AB10" s="23">
        <v>0.0</v>
      </c>
      <c r="AC10" s="16"/>
      <c r="AD10" s="23">
        <v>0.0</v>
      </c>
      <c r="AE10" s="16"/>
      <c r="AF10" s="23">
        <v>0.0</v>
      </c>
      <c r="AG10" s="16"/>
      <c r="AH10" s="16"/>
    </row>
    <row r="11" ht="15.75" customHeight="1">
      <c r="A11" s="16">
        <v>8.0</v>
      </c>
      <c r="B11" s="23">
        <v>0.0</v>
      </c>
      <c r="C11" s="23">
        <v>1.0</v>
      </c>
      <c r="D11" s="23">
        <v>0.0</v>
      </c>
      <c r="E11" s="16"/>
      <c r="F11" s="23">
        <v>1.0</v>
      </c>
      <c r="G11" s="23">
        <v>1.0</v>
      </c>
      <c r="H11" s="23">
        <v>0.0</v>
      </c>
      <c r="I11" s="16"/>
      <c r="J11" s="23">
        <v>19.0</v>
      </c>
      <c r="M11" s="16">
        <v>8.0</v>
      </c>
      <c r="N11" s="23">
        <v>2.0</v>
      </c>
      <c r="O11" s="16"/>
      <c r="P11" s="23">
        <v>2.0</v>
      </c>
      <c r="Q11" s="16"/>
      <c r="R11" s="23">
        <v>3.0</v>
      </c>
      <c r="S11" s="23">
        <v>1.0</v>
      </c>
      <c r="T11" s="23">
        <v>0.0</v>
      </c>
      <c r="U11" s="16"/>
      <c r="V11" s="23">
        <v>10.0</v>
      </c>
      <c r="Y11" s="16">
        <v>8.0</v>
      </c>
      <c r="Z11" s="23">
        <v>0.0</v>
      </c>
      <c r="AA11" s="16"/>
      <c r="AB11" s="23">
        <v>0.0</v>
      </c>
      <c r="AC11" s="16"/>
      <c r="AD11" s="23">
        <v>0.0</v>
      </c>
      <c r="AE11" s="16"/>
      <c r="AF11" s="23">
        <v>0.0</v>
      </c>
      <c r="AG11" s="16"/>
      <c r="AH11" s="16"/>
    </row>
    <row r="12" ht="15.75" customHeight="1">
      <c r="A12" s="16">
        <v>9.0</v>
      </c>
      <c r="B12" s="23">
        <v>1.0</v>
      </c>
      <c r="C12" s="16"/>
      <c r="D12" s="23">
        <v>0.0</v>
      </c>
      <c r="E12" s="16"/>
      <c r="F12" s="23">
        <v>2.0</v>
      </c>
      <c r="G12" s="16"/>
      <c r="H12" s="23">
        <v>0.0</v>
      </c>
      <c r="I12" s="16"/>
      <c r="J12" s="23">
        <v>19.0</v>
      </c>
      <c r="M12" s="16">
        <v>9.0</v>
      </c>
      <c r="N12" s="23">
        <v>2.0</v>
      </c>
      <c r="O12" s="16"/>
      <c r="P12" s="23">
        <v>2.0</v>
      </c>
      <c r="Q12" s="16"/>
      <c r="R12" s="23">
        <v>4.0</v>
      </c>
      <c r="S12" s="16"/>
      <c r="T12" s="23">
        <v>0.0</v>
      </c>
      <c r="U12" s="16"/>
      <c r="V12" s="23">
        <v>10.0</v>
      </c>
      <c r="Y12" s="16">
        <v>9.0</v>
      </c>
      <c r="Z12" s="23">
        <v>0.0</v>
      </c>
      <c r="AA12" s="16"/>
      <c r="AB12" s="23">
        <v>0.0</v>
      </c>
      <c r="AC12" s="16"/>
      <c r="AD12" s="23">
        <v>0.0</v>
      </c>
      <c r="AE12" s="16"/>
      <c r="AF12" s="23">
        <v>0.0</v>
      </c>
      <c r="AG12" s="16"/>
      <c r="AH12" s="16"/>
    </row>
    <row r="13" ht="15.75" customHeight="1">
      <c r="A13" s="16">
        <v>10.0</v>
      </c>
      <c r="B13" s="23">
        <v>0.0</v>
      </c>
      <c r="C13" s="16"/>
      <c r="D13" s="23">
        <v>0.0</v>
      </c>
      <c r="E13" s="16"/>
      <c r="F13" s="23">
        <v>2.0</v>
      </c>
      <c r="G13" s="16"/>
      <c r="H13" s="23">
        <v>0.0</v>
      </c>
      <c r="I13" s="16"/>
      <c r="J13" s="23">
        <v>19.0</v>
      </c>
      <c r="M13" s="16">
        <v>10.0</v>
      </c>
      <c r="N13" s="23">
        <v>1.0</v>
      </c>
      <c r="O13" s="16"/>
      <c r="P13" s="23">
        <v>1.0</v>
      </c>
      <c r="Q13" s="16"/>
      <c r="R13" s="23">
        <v>3.0</v>
      </c>
      <c r="S13" s="23">
        <v>1.0</v>
      </c>
      <c r="T13" s="23">
        <v>0.0</v>
      </c>
      <c r="U13" s="16"/>
      <c r="V13" s="23">
        <v>10.0</v>
      </c>
      <c r="Y13" s="16">
        <v>10.0</v>
      </c>
      <c r="Z13" s="23">
        <v>0.0</v>
      </c>
      <c r="AA13" s="16"/>
      <c r="AB13" s="23">
        <v>0.0</v>
      </c>
      <c r="AC13" s="16"/>
      <c r="AD13" s="23">
        <v>0.0</v>
      </c>
      <c r="AE13" s="16"/>
      <c r="AF13" s="23">
        <v>0.0</v>
      </c>
      <c r="AG13" s="16"/>
      <c r="AH13" s="16"/>
    </row>
    <row r="14" ht="15.75" customHeight="1">
      <c r="A14" s="16">
        <v>11.0</v>
      </c>
      <c r="B14" s="23">
        <v>0.0</v>
      </c>
      <c r="C14" s="16"/>
      <c r="D14" s="23">
        <v>0.0</v>
      </c>
      <c r="E14" s="16"/>
      <c r="F14" s="23">
        <v>2.0</v>
      </c>
      <c r="G14" s="16"/>
      <c r="H14" s="23">
        <v>0.0</v>
      </c>
      <c r="I14" s="16"/>
      <c r="J14" s="23">
        <v>19.0</v>
      </c>
      <c r="M14" s="16">
        <v>11.0</v>
      </c>
      <c r="N14" s="23">
        <v>1.0</v>
      </c>
      <c r="O14" s="16"/>
      <c r="P14" s="23">
        <v>1.0</v>
      </c>
      <c r="Q14" s="16"/>
      <c r="R14" s="23">
        <v>3.0</v>
      </c>
      <c r="S14" s="16"/>
      <c r="T14" s="23">
        <v>0.0</v>
      </c>
      <c r="U14" s="16"/>
      <c r="V14" s="23">
        <v>9.0</v>
      </c>
      <c r="Y14" s="16">
        <v>11.0</v>
      </c>
      <c r="Z14" s="23">
        <v>0.0</v>
      </c>
      <c r="AA14" s="16"/>
      <c r="AB14" s="23">
        <v>0.0</v>
      </c>
      <c r="AC14" s="16"/>
      <c r="AD14" s="23">
        <v>0.0</v>
      </c>
      <c r="AE14" s="16"/>
      <c r="AF14" s="23">
        <v>0.0</v>
      </c>
      <c r="AG14" s="16"/>
      <c r="AH14" s="16"/>
    </row>
    <row r="15" ht="15.75" customHeight="1">
      <c r="A15" s="16">
        <v>12.0</v>
      </c>
      <c r="B15" s="23">
        <v>1.0</v>
      </c>
      <c r="C15" s="16"/>
      <c r="D15" s="23">
        <v>0.0</v>
      </c>
      <c r="E15" s="16"/>
      <c r="F15" s="23">
        <v>2.0</v>
      </c>
      <c r="G15" s="23">
        <v>1.0</v>
      </c>
      <c r="H15" s="23">
        <v>0.0</v>
      </c>
      <c r="I15" s="16"/>
      <c r="J15" s="23">
        <v>18.0</v>
      </c>
      <c r="M15" s="16">
        <v>12.0</v>
      </c>
      <c r="N15" s="23">
        <v>0.0</v>
      </c>
      <c r="O15" s="16"/>
      <c r="P15" s="23">
        <v>0.0</v>
      </c>
      <c r="Q15" s="16"/>
      <c r="R15" s="23">
        <v>3.0</v>
      </c>
      <c r="S15" s="16"/>
      <c r="T15" s="23">
        <v>0.0</v>
      </c>
      <c r="U15" s="16"/>
      <c r="V15" s="23">
        <v>9.0</v>
      </c>
      <c r="Y15" s="16">
        <v>12.0</v>
      </c>
      <c r="Z15" s="23">
        <v>0.0</v>
      </c>
      <c r="AA15" s="16"/>
      <c r="AB15" s="23">
        <v>0.0</v>
      </c>
      <c r="AC15" s="16"/>
      <c r="AD15" s="23">
        <v>0.0</v>
      </c>
      <c r="AE15" s="16"/>
      <c r="AF15" s="23">
        <v>0.0</v>
      </c>
      <c r="AG15" s="16"/>
      <c r="AH15" s="16"/>
    </row>
    <row r="16" ht="15.75" customHeight="1">
      <c r="A16" s="16">
        <v>13.0</v>
      </c>
      <c r="B16" s="23">
        <v>1.0</v>
      </c>
      <c r="C16" s="23">
        <v>1.0</v>
      </c>
      <c r="D16" s="23">
        <v>0.0</v>
      </c>
      <c r="E16" s="16"/>
      <c r="F16" s="23">
        <v>3.0</v>
      </c>
      <c r="G16" s="16"/>
      <c r="H16" s="23">
        <v>0.0</v>
      </c>
      <c r="I16" s="16"/>
      <c r="J16" s="23">
        <v>20.0</v>
      </c>
      <c r="M16" s="16">
        <v>13.0</v>
      </c>
      <c r="N16" s="23">
        <v>0.0</v>
      </c>
      <c r="O16" s="23">
        <v>1.0</v>
      </c>
      <c r="P16" s="23">
        <v>0.0</v>
      </c>
      <c r="Q16" s="16"/>
      <c r="R16" s="23">
        <v>3.0</v>
      </c>
      <c r="S16" s="16"/>
      <c r="T16" s="23">
        <v>0.0</v>
      </c>
      <c r="U16" s="16"/>
      <c r="V16" s="23">
        <v>10.0</v>
      </c>
      <c r="Y16" s="16">
        <v>13.0</v>
      </c>
      <c r="Z16" s="23">
        <v>0.0</v>
      </c>
      <c r="AA16" s="16"/>
      <c r="AB16" s="23">
        <v>0.0</v>
      </c>
      <c r="AC16" s="16"/>
      <c r="AD16" s="23">
        <v>0.0</v>
      </c>
      <c r="AE16" s="16"/>
      <c r="AF16" s="23">
        <v>0.0</v>
      </c>
      <c r="AG16" s="16"/>
      <c r="AH16" s="16"/>
    </row>
    <row r="17" ht="15.75" customHeight="1">
      <c r="A17" s="16">
        <v>14.0</v>
      </c>
      <c r="B17" s="23">
        <v>1.0</v>
      </c>
      <c r="C17" s="16"/>
      <c r="D17" s="23">
        <v>0.0</v>
      </c>
      <c r="E17" s="16"/>
      <c r="F17" s="23">
        <v>2.0</v>
      </c>
      <c r="G17" s="16"/>
      <c r="H17" s="23">
        <v>0.0</v>
      </c>
      <c r="I17" s="16"/>
      <c r="J17" s="23">
        <v>18.0</v>
      </c>
      <c r="M17" s="16">
        <v>14.0</v>
      </c>
      <c r="N17" s="23">
        <v>1.0</v>
      </c>
      <c r="O17" s="16"/>
      <c r="P17" s="23">
        <v>0.0</v>
      </c>
      <c r="Q17" s="16"/>
      <c r="R17" s="23">
        <v>3.0</v>
      </c>
      <c r="S17" s="16"/>
      <c r="T17" s="23">
        <v>0.0</v>
      </c>
      <c r="U17" s="16"/>
      <c r="V17" s="23">
        <v>9.0</v>
      </c>
      <c r="Y17" s="16">
        <v>14.0</v>
      </c>
      <c r="Z17" s="23">
        <v>0.0</v>
      </c>
      <c r="AA17" s="16"/>
      <c r="AB17" s="23">
        <v>0.0</v>
      </c>
      <c r="AC17" s="16"/>
      <c r="AD17" s="23">
        <v>0.0</v>
      </c>
      <c r="AE17" s="16"/>
      <c r="AF17" s="23">
        <v>0.0</v>
      </c>
      <c r="AG17" s="16"/>
      <c r="AH17" s="16"/>
    </row>
    <row r="18" ht="15.75" customHeight="1">
      <c r="A18" s="16">
        <v>15.0</v>
      </c>
      <c r="B18" s="23">
        <v>1.0</v>
      </c>
      <c r="C18" s="23">
        <v>1.0</v>
      </c>
      <c r="D18" s="23">
        <v>0.0</v>
      </c>
      <c r="E18" s="23">
        <v>1.0</v>
      </c>
      <c r="F18" s="23">
        <v>1.0</v>
      </c>
      <c r="G18" s="23">
        <v>1.0</v>
      </c>
      <c r="H18" s="23">
        <v>0.0</v>
      </c>
      <c r="I18" s="16"/>
      <c r="J18" s="23">
        <v>19.0</v>
      </c>
      <c r="M18" s="16">
        <v>15.0</v>
      </c>
      <c r="N18" s="23">
        <v>1.0</v>
      </c>
      <c r="O18" s="23">
        <v>1.0</v>
      </c>
      <c r="P18" s="23">
        <v>0.0</v>
      </c>
      <c r="Q18" s="16"/>
      <c r="R18" s="23">
        <v>2.0</v>
      </c>
      <c r="S18" s="16"/>
      <c r="T18" s="23">
        <v>0.0</v>
      </c>
      <c r="U18" s="16"/>
      <c r="V18" s="23">
        <v>10.0</v>
      </c>
      <c r="Y18" s="16">
        <v>15.0</v>
      </c>
      <c r="Z18" s="23">
        <v>0.0</v>
      </c>
      <c r="AA18" s="16"/>
      <c r="AB18" s="23">
        <v>0.0</v>
      </c>
      <c r="AC18" s="16"/>
      <c r="AD18" s="23">
        <v>0.0</v>
      </c>
      <c r="AE18" s="16"/>
      <c r="AF18" s="23">
        <v>0.0</v>
      </c>
      <c r="AG18" s="16"/>
      <c r="AH18" s="16"/>
    </row>
    <row r="19" ht="15.75" customHeight="1">
      <c r="A19" s="16">
        <v>16.0</v>
      </c>
      <c r="B19" s="23">
        <v>1.0</v>
      </c>
      <c r="C19" s="16"/>
      <c r="D19" s="23">
        <v>1.0</v>
      </c>
      <c r="E19" s="16"/>
      <c r="F19" s="23">
        <v>2.0</v>
      </c>
      <c r="G19" s="16"/>
      <c r="H19" s="23">
        <v>0.0</v>
      </c>
      <c r="I19" s="16"/>
      <c r="J19" s="23">
        <v>19.0</v>
      </c>
      <c r="M19" s="16">
        <v>16.0</v>
      </c>
      <c r="N19" s="23">
        <v>2.0</v>
      </c>
      <c r="O19" s="16"/>
      <c r="P19" s="23">
        <v>0.0</v>
      </c>
      <c r="Q19" s="16"/>
      <c r="R19" s="23">
        <v>2.0</v>
      </c>
      <c r="S19" s="16"/>
      <c r="T19" s="23">
        <v>0.0</v>
      </c>
      <c r="U19" s="16"/>
      <c r="V19" s="23">
        <v>10.0</v>
      </c>
      <c r="Y19" s="16">
        <v>16.0</v>
      </c>
      <c r="Z19" s="23">
        <v>0.0</v>
      </c>
      <c r="AA19" s="16"/>
      <c r="AB19" s="23">
        <v>0.0</v>
      </c>
      <c r="AC19" s="16"/>
      <c r="AD19" s="23">
        <v>0.0</v>
      </c>
      <c r="AE19" s="16"/>
      <c r="AF19" s="23">
        <v>0.0</v>
      </c>
      <c r="AG19" s="16"/>
      <c r="AH19" s="16"/>
    </row>
    <row r="20" ht="15.75" customHeight="1">
      <c r="A20" s="16">
        <v>17.0</v>
      </c>
      <c r="B20" s="23">
        <v>1.0</v>
      </c>
      <c r="C20" s="16"/>
      <c r="D20" s="23">
        <v>1.0</v>
      </c>
      <c r="E20" s="16"/>
      <c r="F20" s="23">
        <v>2.0</v>
      </c>
      <c r="G20" s="16"/>
      <c r="H20" s="23">
        <v>0.0</v>
      </c>
      <c r="I20" s="16"/>
      <c r="J20" s="23">
        <v>19.0</v>
      </c>
      <c r="M20" s="16">
        <v>17.0</v>
      </c>
      <c r="N20" s="23">
        <v>2.0</v>
      </c>
      <c r="O20" s="16"/>
      <c r="P20" s="23">
        <v>0.0</v>
      </c>
      <c r="Q20" s="16"/>
      <c r="R20" s="23">
        <v>2.0</v>
      </c>
      <c r="S20" s="16"/>
      <c r="T20" s="23">
        <v>0.0</v>
      </c>
      <c r="U20" s="16"/>
      <c r="V20" s="23">
        <v>8.0</v>
      </c>
      <c r="Y20" s="16">
        <v>17.0</v>
      </c>
      <c r="Z20" s="23">
        <v>0.0</v>
      </c>
      <c r="AA20" s="16"/>
      <c r="AB20" s="23">
        <v>0.0</v>
      </c>
      <c r="AC20" s="16"/>
      <c r="AD20" s="23">
        <v>0.0</v>
      </c>
      <c r="AE20" s="16"/>
      <c r="AF20" s="23">
        <v>0.0</v>
      </c>
      <c r="AG20" s="16"/>
      <c r="AH20" s="16"/>
    </row>
    <row r="21" ht="15.75" customHeight="1">
      <c r="A21" s="16">
        <v>18.0</v>
      </c>
      <c r="B21" s="23">
        <v>1.0</v>
      </c>
      <c r="C21" s="16"/>
      <c r="D21" s="23">
        <v>1.0</v>
      </c>
      <c r="E21" s="16"/>
      <c r="F21" s="23">
        <v>2.0</v>
      </c>
      <c r="G21" s="16"/>
      <c r="H21" s="23">
        <v>0.0</v>
      </c>
      <c r="I21" s="16"/>
      <c r="J21" s="23">
        <v>19.0</v>
      </c>
      <c r="M21" s="16">
        <v>18.0</v>
      </c>
      <c r="N21" s="23">
        <v>1.0</v>
      </c>
      <c r="O21" s="16"/>
      <c r="P21" s="23">
        <v>0.0</v>
      </c>
      <c r="Q21" s="16"/>
      <c r="R21" s="23">
        <v>1.0</v>
      </c>
      <c r="S21" s="16"/>
      <c r="T21" s="23">
        <v>0.0</v>
      </c>
      <c r="U21" s="16"/>
      <c r="V21" s="23">
        <v>10.0</v>
      </c>
      <c r="Y21" s="16">
        <v>18.0</v>
      </c>
      <c r="Z21" s="23">
        <v>0.0</v>
      </c>
      <c r="AA21" s="16"/>
      <c r="AB21" s="23">
        <v>0.0</v>
      </c>
      <c r="AC21" s="16"/>
      <c r="AD21" s="23">
        <v>0.0</v>
      </c>
      <c r="AE21" s="16"/>
      <c r="AF21" s="23">
        <v>0.0</v>
      </c>
      <c r="AG21" s="16"/>
      <c r="AH21" s="16"/>
    </row>
    <row r="22" ht="15.75" customHeight="1">
      <c r="A22" s="16">
        <v>19.0</v>
      </c>
      <c r="B22" s="23">
        <v>1.0</v>
      </c>
      <c r="C22" s="16"/>
      <c r="D22" s="23">
        <v>1.0</v>
      </c>
      <c r="E22" s="16"/>
      <c r="F22" s="23">
        <v>2.0</v>
      </c>
      <c r="G22" s="16"/>
      <c r="H22" s="23">
        <v>0.0</v>
      </c>
      <c r="I22" s="16"/>
      <c r="J22" s="23">
        <v>19.0</v>
      </c>
      <c r="M22" s="16">
        <v>19.0</v>
      </c>
      <c r="N22" s="23">
        <v>1.0</v>
      </c>
      <c r="O22" s="16"/>
      <c r="P22" s="23">
        <v>0.0</v>
      </c>
      <c r="Q22" s="16"/>
      <c r="R22" s="23">
        <v>1.0</v>
      </c>
      <c r="S22" s="16"/>
      <c r="T22" s="23">
        <v>0.0</v>
      </c>
      <c r="U22" s="16"/>
      <c r="V22" s="23">
        <v>10.0</v>
      </c>
      <c r="Y22" s="16">
        <v>19.0</v>
      </c>
      <c r="Z22" s="23">
        <v>0.0</v>
      </c>
      <c r="AA22" s="16"/>
      <c r="AB22" s="23">
        <v>0.0</v>
      </c>
      <c r="AC22" s="16"/>
      <c r="AD22" s="23">
        <v>0.0</v>
      </c>
      <c r="AE22" s="16"/>
      <c r="AF22" s="23">
        <v>0.0</v>
      </c>
      <c r="AG22" s="16"/>
      <c r="AH22" s="16"/>
    </row>
    <row r="23" ht="15.75" customHeight="1">
      <c r="A23" s="16">
        <v>20.0</v>
      </c>
      <c r="B23" s="23">
        <v>1.0</v>
      </c>
      <c r="C23" s="16"/>
      <c r="D23" s="23">
        <v>1.0</v>
      </c>
      <c r="E23" s="16"/>
      <c r="F23" s="23">
        <v>2.0</v>
      </c>
      <c r="G23" s="23">
        <v>1.0</v>
      </c>
      <c r="H23" s="23">
        <v>0.0</v>
      </c>
      <c r="I23" s="16"/>
      <c r="J23" s="23">
        <v>20.0</v>
      </c>
      <c r="M23" s="16">
        <v>20.0</v>
      </c>
      <c r="N23" s="23">
        <v>1.0</v>
      </c>
      <c r="O23" s="16"/>
      <c r="P23" s="23">
        <v>0.0</v>
      </c>
      <c r="Q23" s="16"/>
      <c r="R23" s="23">
        <v>1.0</v>
      </c>
      <c r="S23" s="16"/>
      <c r="T23" s="23">
        <v>0.0</v>
      </c>
      <c r="U23" s="16"/>
      <c r="V23" s="23">
        <v>9.0</v>
      </c>
      <c r="Y23" s="16">
        <v>20.0</v>
      </c>
      <c r="Z23" s="23">
        <v>0.0</v>
      </c>
      <c r="AA23" s="16"/>
      <c r="AB23" s="23">
        <v>0.0</v>
      </c>
      <c r="AC23" s="16"/>
      <c r="AD23" s="23">
        <v>0.0</v>
      </c>
      <c r="AE23" s="16"/>
      <c r="AF23" s="23">
        <v>0.0</v>
      </c>
      <c r="AG23" s="16"/>
      <c r="AH23" s="16"/>
    </row>
    <row r="24" ht="15.75" customHeight="1">
      <c r="A24" s="16">
        <v>21.0</v>
      </c>
      <c r="B24" s="23">
        <v>1.0</v>
      </c>
      <c r="C24" s="23">
        <v>2.0</v>
      </c>
      <c r="D24" s="23">
        <v>1.0</v>
      </c>
      <c r="E24" s="16"/>
      <c r="F24" s="23">
        <v>3.0</v>
      </c>
      <c r="G24" s="16"/>
      <c r="H24" s="23">
        <v>0.0</v>
      </c>
      <c r="I24" s="16"/>
      <c r="J24" s="23">
        <v>20.0</v>
      </c>
      <c r="M24" s="16">
        <v>21.0</v>
      </c>
      <c r="N24" s="23">
        <v>1.0</v>
      </c>
      <c r="O24" s="23">
        <v>1.0</v>
      </c>
      <c r="P24" s="23">
        <v>0.0</v>
      </c>
      <c r="Q24" s="16"/>
      <c r="R24" s="23">
        <v>1.0</v>
      </c>
      <c r="S24" s="16"/>
      <c r="T24" s="23">
        <v>0.0</v>
      </c>
      <c r="U24" s="16"/>
      <c r="V24" s="23">
        <v>10.0</v>
      </c>
      <c r="Y24" s="16">
        <v>21.0</v>
      </c>
      <c r="Z24" s="23">
        <v>0.0</v>
      </c>
      <c r="AA24" s="16"/>
      <c r="AB24" s="23">
        <v>0.0</v>
      </c>
      <c r="AC24" s="16"/>
      <c r="AD24" s="23">
        <v>0.0</v>
      </c>
      <c r="AE24" s="16"/>
      <c r="AF24" s="23">
        <v>0.0</v>
      </c>
      <c r="AG24" s="16"/>
      <c r="AH24" s="16"/>
    </row>
    <row r="25" ht="15.75" customHeight="1">
      <c r="A25" s="16">
        <v>22.0</v>
      </c>
      <c r="B25" s="23">
        <v>3.0</v>
      </c>
      <c r="C25" s="16"/>
      <c r="D25" s="23">
        <v>1.0</v>
      </c>
      <c r="E25" s="16"/>
      <c r="F25" s="23">
        <v>3.0</v>
      </c>
      <c r="G25" s="16"/>
      <c r="H25" s="23">
        <v>0.0</v>
      </c>
      <c r="I25" s="16"/>
      <c r="J25" s="23">
        <v>19.0</v>
      </c>
      <c r="M25" s="16">
        <v>22.0</v>
      </c>
      <c r="N25" s="23">
        <v>2.0</v>
      </c>
      <c r="O25" s="16"/>
      <c r="P25" s="23">
        <v>0.0</v>
      </c>
      <c r="Q25" s="16"/>
      <c r="R25" s="23">
        <v>1.0</v>
      </c>
      <c r="S25" s="23">
        <v>1.0</v>
      </c>
      <c r="T25" s="23">
        <v>0.0</v>
      </c>
      <c r="U25" s="16"/>
      <c r="V25" s="23">
        <v>10.0</v>
      </c>
      <c r="Y25" s="16">
        <v>22.0</v>
      </c>
      <c r="Z25" s="23">
        <v>0.0</v>
      </c>
      <c r="AA25" s="16"/>
      <c r="AB25" s="23">
        <v>0.0</v>
      </c>
      <c r="AC25" s="16"/>
      <c r="AD25" s="23">
        <v>0.0</v>
      </c>
      <c r="AE25" s="16"/>
      <c r="AF25" s="23">
        <v>0.0</v>
      </c>
      <c r="AG25" s="16"/>
      <c r="AH25" s="16"/>
    </row>
    <row r="26" ht="15.75" customHeight="1">
      <c r="A26" s="16">
        <v>23.0</v>
      </c>
      <c r="B26" s="23">
        <v>2.0</v>
      </c>
      <c r="C26" s="23">
        <v>1.0</v>
      </c>
      <c r="D26" s="23">
        <v>0.0</v>
      </c>
      <c r="E26" s="16"/>
      <c r="F26" s="23">
        <v>3.0</v>
      </c>
      <c r="G26" s="16"/>
      <c r="H26" s="23">
        <v>0.0</v>
      </c>
      <c r="I26" s="16"/>
      <c r="J26" s="23">
        <v>20.0</v>
      </c>
      <c r="M26" s="16">
        <v>23.0</v>
      </c>
      <c r="N26" s="23">
        <v>1.0</v>
      </c>
      <c r="O26" s="23">
        <v>1.0</v>
      </c>
      <c r="P26" s="23">
        <v>0.0</v>
      </c>
      <c r="Q26" s="16"/>
      <c r="R26" s="23">
        <v>1.0</v>
      </c>
      <c r="S26" s="23">
        <v>1.0</v>
      </c>
      <c r="T26" s="23">
        <v>0.0</v>
      </c>
      <c r="U26" s="16"/>
      <c r="V26" s="23">
        <v>10.0</v>
      </c>
      <c r="Y26" s="16">
        <v>23.0</v>
      </c>
      <c r="Z26" s="23">
        <v>0.0</v>
      </c>
      <c r="AA26" s="16"/>
      <c r="AB26" s="23">
        <v>0.0</v>
      </c>
      <c r="AC26" s="16"/>
      <c r="AD26" s="23">
        <v>0.0</v>
      </c>
      <c r="AE26" s="16"/>
      <c r="AF26" s="23">
        <v>0.0</v>
      </c>
      <c r="AG26" s="16"/>
      <c r="AH26" s="16"/>
    </row>
    <row r="27" ht="15.75" customHeight="1">
      <c r="A27" s="16">
        <v>24.0</v>
      </c>
      <c r="B27" s="23">
        <v>3.0</v>
      </c>
      <c r="C27" s="16"/>
      <c r="D27" s="23">
        <v>0.0</v>
      </c>
      <c r="E27" s="23"/>
      <c r="F27" s="23">
        <v>2.0</v>
      </c>
      <c r="G27" s="16"/>
      <c r="H27" s="23">
        <v>0.0</v>
      </c>
      <c r="I27" s="16"/>
      <c r="J27" s="23">
        <v>20.0</v>
      </c>
      <c r="M27" s="16">
        <v>24.0</v>
      </c>
      <c r="N27" s="23">
        <v>2.0</v>
      </c>
      <c r="O27" s="16"/>
      <c r="P27" s="23">
        <v>0.0</v>
      </c>
      <c r="Q27" s="16"/>
      <c r="R27" s="23">
        <v>2.0</v>
      </c>
      <c r="S27" s="16"/>
      <c r="T27" s="23">
        <v>0.0</v>
      </c>
      <c r="U27" s="16"/>
      <c r="V27" s="23">
        <v>10.0</v>
      </c>
      <c r="Y27" s="16">
        <v>24.0</v>
      </c>
      <c r="Z27" s="23">
        <v>0.0</v>
      </c>
      <c r="AA27" s="16"/>
      <c r="AB27" s="23">
        <v>0.0</v>
      </c>
      <c r="AC27" s="16"/>
      <c r="AD27" s="23">
        <v>0.0</v>
      </c>
      <c r="AE27" s="16"/>
      <c r="AF27" s="23">
        <v>0.0</v>
      </c>
      <c r="AG27" s="16"/>
      <c r="AH27" s="16"/>
    </row>
    <row r="28" ht="15.75" customHeight="1">
      <c r="A28" s="16">
        <v>25.0</v>
      </c>
      <c r="B28" s="23">
        <v>3.0</v>
      </c>
      <c r="C28" s="23">
        <v>1.0</v>
      </c>
      <c r="D28" s="23">
        <v>0.0</v>
      </c>
      <c r="E28" s="23">
        <v>1.0</v>
      </c>
      <c r="F28" s="23">
        <v>2.0</v>
      </c>
      <c r="G28" s="16"/>
      <c r="H28" s="23">
        <v>0.0</v>
      </c>
      <c r="I28" s="16"/>
      <c r="J28" s="23">
        <v>20.0</v>
      </c>
      <c r="M28" s="16">
        <v>25.0</v>
      </c>
      <c r="N28" s="23">
        <v>0.0</v>
      </c>
      <c r="O28" s="16"/>
      <c r="P28" s="23">
        <v>0.0</v>
      </c>
      <c r="Q28" s="16"/>
      <c r="R28" s="23">
        <v>1.0</v>
      </c>
      <c r="S28" s="16"/>
      <c r="T28" s="23">
        <v>0.0</v>
      </c>
      <c r="U28" s="16"/>
      <c r="V28" s="23">
        <v>10.0</v>
      </c>
      <c r="Y28" s="16">
        <v>25.0</v>
      </c>
      <c r="Z28" s="23">
        <v>0.0</v>
      </c>
      <c r="AA28" s="16"/>
      <c r="AB28" s="23">
        <v>0.0</v>
      </c>
      <c r="AC28" s="16"/>
      <c r="AD28" s="23">
        <v>0.0</v>
      </c>
      <c r="AE28" s="16"/>
      <c r="AF28" s="23">
        <v>0.0</v>
      </c>
      <c r="AG28" s="16"/>
      <c r="AH28" s="16"/>
    </row>
    <row r="29" ht="15.75" customHeight="1">
      <c r="A29" s="16">
        <v>26.0</v>
      </c>
      <c r="B29" s="23">
        <v>3.0</v>
      </c>
      <c r="C29" s="16"/>
      <c r="D29" s="23">
        <v>2.0</v>
      </c>
      <c r="E29" s="16"/>
      <c r="F29" s="23">
        <v>2.0</v>
      </c>
      <c r="G29" s="16"/>
      <c r="H29" s="23">
        <v>0.0</v>
      </c>
      <c r="I29" s="16"/>
      <c r="J29" s="23">
        <v>20.0</v>
      </c>
      <c r="M29" s="16">
        <v>26.0</v>
      </c>
      <c r="N29" s="23">
        <v>0.0</v>
      </c>
      <c r="O29" s="16"/>
      <c r="P29" s="23">
        <v>0.0</v>
      </c>
      <c r="Q29" s="16"/>
      <c r="R29" s="23">
        <v>1.0</v>
      </c>
      <c r="S29" s="23">
        <v>1.0</v>
      </c>
      <c r="T29" s="23">
        <v>0.0</v>
      </c>
      <c r="U29" s="16"/>
      <c r="V29" s="23">
        <v>10.0</v>
      </c>
      <c r="Y29" s="16">
        <v>26.0</v>
      </c>
      <c r="Z29" s="23">
        <v>0.0</v>
      </c>
      <c r="AA29" s="16"/>
      <c r="AB29" s="23">
        <v>0.0</v>
      </c>
      <c r="AC29" s="16"/>
      <c r="AD29" s="23">
        <v>0.0</v>
      </c>
      <c r="AE29" s="16"/>
      <c r="AF29" s="23">
        <v>0.0</v>
      </c>
      <c r="AG29" s="16"/>
      <c r="AH29" s="16"/>
    </row>
    <row r="30" ht="15.75" customHeight="1">
      <c r="A30" s="16">
        <v>27.0</v>
      </c>
      <c r="B30" s="23">
        <v>3.0</v>
      </c>
      <c r="C30" s="16"/>
      <c r="D30" s="23">
        <v>2.0</v>
      </c>
      <c r="E30" s="16"/>
      <c r="F30" s="23">
        <v>2.0</v>
      </c>
      <c r="G30" s="16"/>
      <c r="H30" s="23">
        <v>0.0</v>
      </c>
      <c r="I30" s="16"/>
      <c r="J30" s="23">
        <v>18.0</v>
      </c>
      <c r="M30" s="16">
        <v>27.0</v>
      </c>
      <c r="N30" s="23">
        <v>0.0</v>
      </c>
      <c r="O30" s="16"/>
      <c r="P30" s="23">
        <v>0.0</v>
      </c>
      <c r="Q30" s="16"/>
      <c r="R30" s="23">
        <v>2.0</v>
      </c>
      <c r="S30" s="16"/>
      <c r="T30" s="23">
        <v>0.0</v>
      </c>
      <c r="U30" s="16"/>
      <c r="V30" s="23">
        <v>10.0</v>
      </c>
      <c r="Y30" s="16">
        <v>27.0</v>
      </c>
      <c r="Z30" s="23">
        <v>0.0</v>
      </c>
      <c r="AA30" s="16"/>
      <c r="AB30" s="23">
        <v>0.0</v>
      </c>
      <c r="AC30" s="16"/>
      <c r="AD30" s="23">
        <v>0.0</v>
      </c>
      <c r="AE30" s="16"/>
      <c r="AF30" s="23">
        <v>0.0</v>
      </c>
      <c r="AG30" s="16"/>
      <c r="AH30" s="16"/>
    </row>
    <row r="31" ht="15.75" customHeight="1">
      <c r="A31" s="16">
        <v>28.0</v>
      </c>
      <c r="B31" s="23">
        <v>2.0</v>
      </c>
      <c r="C31" s="16"/>
      <c r="D31" s="23">
        <v>1.0</v>
      </c>
      <c r="E31" s="16"/>
      <c r="F31" s="23">
        <v>2.0</v>
      </c>
      <c r="G31" s="16"/>
      <c r="H31" s="23">
        <v>0.0</v>
      </c>
      <c r="I31" s="16"/>
      <c r="J31" s="23">
        <v>20.0</v>
      </c>
      <c r="M31" s="16">
        <v>28.0</v>
      </c>
      <c r="N31" s="23">
        <v>0.0</v>
      </c>
      <c r="O31" s="16"/>
      <c r="P31" s="23">
        <v>0.0</v>
      </c>
      <c r="Q31" s="16"/>
      <c r="R31" s="23">
        <v>1.0</v>
      </c>
      <c r="S31" s="16"/>
      <c r="T31" s="23">
        <v>0.0</v>
      </c>
      <c r="U31" s="16"/>
      <c r="V31" s="23">
        <v>10.0</v>
      </c>
      <c r="Y31" s="16">
        <v>28.0</v>
      </c>
      <c r="Z31" s="23">
        <v>0.0</v>
      </c>
      <c r="AA31" s="16"/>
      <c r="AB31" s="23">
        <v>0.0</v>
      </c>
      <c r="AC31" s="16"/>
      <c r="AD31" s="23">
        <v>0.0</v>
      </c>
      <c r="AE31" s="16"/>
      <c r="AF31" s="23">
        <v>0.0</v>
      </c>
      <c r="AG31" s="16"/>
      <c r="AH31" s="16"/>
    </row>
    <row r="32" ht="15.75" customHeight="1">
      <c r="A32" s="16">
        <v>29.0</v>
      </c>
      <c r="B32" s="23">
        <v>1.0</v>
      </c>
      <c r="C32" s="16"/>
      <c r="D32" s="23">
        <v>1.0</v>
      </c>
      <c r="E32" s="16"/>
      <c r="F32" s="23">
        <v>2.0</v>
      </c>
      <c r="G32" s="16"/>
      <c r="H32" s="23">
        <v>0.0</v>
      </c>
      <c r="I32" s="16"/>
      <c r="J32" s="23">
        <v>20.0</v>
      </c>
      <c r="M32" s="16">
        <v>29.0</v>
      </c>
      <c r="N32" s="23">
        <v>0.0</v>
      </c>
      <c r="O32" s="16"/>
      <c r="P32" s="23">
        <v>0.0</v>
      </c>
      <c r="Q32" s="16"/>
      <c r="R32" s="23">
        <v>1.0</v>
      </c>
      <c r="S32" s="23">
        <v>1.0</v>
      </c>
      <c r="T32" s="23">
        <v>0.0</v>
      </c>
      <c r="U32" s="16"/>
      <c r="V32" s="23">
        <v>10.0</v>
      </c>
      <c r="Y32" s="16">
        <v>29.0</v>
      </c>
      <c r="Z32" s="23">
        <v>0.0</v>
      </c>
      <c r="AA32" s="16"/>
      <c r="AB32" s="23">
        <v>0.0</v>
      </c>
      <c r="AC32" s="16"/>
      <c r="AD32" s="23">
        <v>0.0</v>
      </c>
      <c r="AE32" s="16"/>
      <c r="AF32" s="23">
        <v>0.0</v>
      </c>
      <c r="AG32" s="16"/>
      <c r="AH32" s="16"/>
    </row>
    <row r="33" ht="15.75" customHeight="1">
      <c r="A33" s="16">
        <v>30.0</v>
      </c>
      <c r="B33" s="23">
        <v>1.0</v>
      </c>
      <c r="C33" s="16"/>
      <c r="D33" s="23">
        <v>1.0</v>
      </c>
      <c r="E33" s="16"/>
      <c r="F33" s="23">
        <v>2.0</v>
      </c>
      <c r="G33" s="16"/>
      <c r="H33" s="23">
        <v>0.0</v>
      </c>
      <c r="I33" s="16"/>
      <c r="J33" s="23">
        <v>18.0</v>
      </c>
      <c r="M33" s="16">
        <v>30.0</v>
      </c>
      <c r="N33" s="23">
        <v>0.0</v>
      </c>
      <c r="O33" s="16"/>
      <c r="P33" s="23">
        <v>0.0</v>
      </c>
      <c r="Q33" s="16"/>
      <c r="R33" s="23">
        <v>2.0</v>
      </c>
      <c r="S33" s="16"/>
      <c r="T33" s="23">
        <v>0.0</v>
      </c>
      <c r="U33" s="16"/>
      <c r="V33" s="23">
        <v>10.0</v>
      </c>
      <c r="Y33" s="16">
        <v>30.0</v>
      </c>
      <c r="Z33" s="23">
        <v>0.0</v>
      </c>
      <c r="AA33" s="16"/>
      <c r="AB33" s="23">
        <v>0.0</v>
      </c>
      <c r="AC33" s="16"/>
      <c r="AD33" s="23">
        <v>0.0</v>
      </c>
      <c r="AE33" s="16"/>
      <c r="AF33" s="23">
        <v>0.0</v>
      </c>
      <c r="AG33" s="16"/>
      <c r="AH33" s="16"/>
    </row>
    <row r="34" ht="15.75" customHeight="1">
      <c r="A34" s="16">
        <v>31.0</v>
      </c>
      <c r="B34" s="27">
        <v>1.0</v>
      </c>
      <c r="C34" s="10"/>
      <c r="D34" s="27">
        <v>1.0</v>
      </c>
      <c r="E34" s="10"/>
      <c r="F34" s="27">
        <v>2.0</v>
      </c>
      <c r="G34" s="10"/>
      <c r="H34" s="27">
        <v>0.0</v>
      </c>
      <c r="I34" s="10"/>
      <c r="J34" s="27">
        <v>18.0</v>
      </c>
      <c r="M34" s="16">
        <v>31.0</v>
      </c>
      <c r="N34" s="27">
        <v>0.0</v>
      </c>
      <c r="O34" s="10"/>
      <c r="P34" s="27">
        <v>0.0</v>
      </c>
      <c r="Q34" s="10"/>
      <c r="R34" s="27">
        <v>1.0</v>
      </c>
      <c r="S34" s="10"/>
      <c r="T34" s="27">
        <v>0.0</v>
      </c>
      <c r="U34" s="10"/>
      <c r="V34" s="27">
        <v>10.0</v>
      </c>
      <c r="Y34" s="16">
        <v>31.0</v>
      </c>
      <c r="Z34" s="10"/>
      <c r="AA34" s="10"/>
      <c r="AB34" s="10"/>
      <c r="AC34" s="10"/>
      <c r="AD34" s="10"/>
      <c r="AE34" s="10"/>
      <c r="AF34" s="10"/>
      <c r="AG34" s="10"/>
      <c r="AH34" s="10"/>
    </row>
    <row r="35" ht="15.75" customHeight="1">
      <c r="A35" s="28" t="s">
        <v>11</v>
      </c>
      <c r="B35" s="28">
        <f t="shared" ref="B35:J35" si="1">SUM(B4:B34)</f>
        <v>36</v>
      </c>
      <c r="C35" s="28">
        <f t="shared" si="1"/>
        <v>7</v>
      </c>
      <c r="D35" s="28">
        <f t="shared" si="1"/>
        <v>15</v>
      </c>
      <c r="E35" s="28">
        <f t="shared" si="1"/>
        <v>2</v>
      </c>
      <c r="F35" s="28">
        <f t="shared" si="1"/>
        <v>57</v>
      </c>
      <c r="G35" s="28">
        <f t="shared" si="1"/>
        <v>6</v>
      </c>
      <c r="H35" s="28">
        <f t="shared" si="1"/>
        <v>0</v>
      </c>
      <c r="I35" s="28">
        <f t="shared" si="1"/>
        <v>0</v>
      </c>
      <c r="J35" s="28">
        <f t="shared" si="1"/>
        <v>598</v>
      </c>
      <c r="M35" s="28" t="s">
        <v>11</v>
      </c>
      <c r="N35" s="28">
        <f t="shared" ref="N35:V35" si="2">SUM(N4:N34)</f>
        <v>35</v>
      </c>
      <c r="O35" s="28">
        <f t="shared" si="2"/>
        <v>4</v>
      </c>
      <c r="P35" s="28">
        <f t="shared" si="2"/>
        <v>20</v>
      </c>
      <c r="Q35" s="28">
        <f t="shared" si="2"/>
        <v>1</v>
      </c>
      <c r="R35" s="28">
        <f t="shared" si="2"/>
        <v>66</v>
      </c>
      <c r="S35" s="28">
        <f t="shared" si="2"/>
        <v>7</v>
      </c>
      <c r="T35" s="28">
        <f t="shared" si="2"/>
        <v>0</v>
      </c>
      <c r="U35" s="28">
        <f t="shared" si="2"/>
        <v>0</v>
      </c>
      <c r="V35" s="28">
        <f t="shared" si="2"/>
        <v>303</v>
      </c>
      <c r="Y35" s="28" t="s">
        <v>11</v>
      </c>
      <c r="Z35" s="28">
        <f t="shared" ref="Z35:AH35" si="3">SUM(Z4:Z34)</f>
        <v>0</v>
      </c>
      <c r="AA35" s="28">
        <f t="shared" si="3"/>
        <v>0</v>
      </c>
      <c r="AB35" s="28">
        <f t="shared" si="3"/>
        <v>0</v>
      </c>
      <c r="AC35" s="28">
        <f t="shared" si="3"/>
        <v>0</v>
      </c>
      <c r="AD35" s="28">
        <f t="shared" si="3"/>
        <v>0</v>
      </c>
      <c r="AE35" s="28">
        <f t="shared" si="3"/>
        <v>0</v>
      </c>
      <c r="AF35" s="28">
        <f t="shared" si="3"/>
        <v>0</v>
      </c>
      <c r="AG35" s="28">
        <f t="shared" si="3"/>
        <v>0</v>
      </c>
      <c r="AH35" s="28">
        <f t="shared" si="3"/>
        <v>0</v>
      </c>
    </row>
    <row r="36" ht="15.75" customHeight="1">
      <c r="A36" s="29" t="s">
        <v>12</v>
      </c>
      <c r="B36" s="28">
        <f t="shared" ref="B36:I36" si="4">(B35/$J$35)*1000</f>
        <v>60.2006689</v>
      </c>
      <c r="C36" s="28">
        <f t="shared" si="4"/>
        <v>11.70568562</v>
      </c>
      <c r="D36" s="28">
        <f t="shared" si="4"/>
        <v>25.08361204</v>
      </c>
      <c r="E36" s="28">
        <f t="shared" si="4"/>
        <v>3.344481605</v>
      </c>
      <c r="F36" s="28">
        <f t="shared" si="4"/>
        <v>95.31772575</v>
      </c>
      <c r="G36" s="28">
        <f t="shared" si="4"/>
        <v>10.03344482</v>
      </c>
      <c r="H36" s="28">
        <f t="shared" si="4"/>
        <v>0</v>
      </c>
      <c r="I36" s="28">
        <f t="shared" si="4"/>
        <v>0</v>
      </c>
      <c r="J36" s="28">
        <f>(J35/$J$35)*100</f>
        <v>100</v>
      </c>
      <c r="M36" s="29" t="s">
        <v>12</v>
      </c>
      <c r="N36" s="28">
        <f t="shared" ref="N36:U36" si="5">(N35/$V$35)*100</f>
        <v>11.55115512</v>
      </c>
      <c r="O36" s="28">
        <f t="shared" si="5"/>
        <v>1.320132013</v>
      </c>
      <c r="P36" s="28">
        <f t="shared" si="5"/>
        <v>6.600660066</v>
      </c>
      <c r="Q36" s="28">
        <f t="shared" si="5"/>
        <v>0.3300330033</v>
      </c>
      <c r="R36" s="28">
        <f t="shared" si="5"/>
        <v>21.78217822</v>
      </c>
      <c r="S36" s="28">
        <f t="shared" si="5"/>
        <v>2.310231023</v>
      </c>
      <c r="T36" s="28">
        <f t="shared" si="5"/>
        <v>0</v>
      </c>
      <c r="U36" s="28">
        <f t="shared" si="5"/>
        <v>0</v>
      </c>
      <c r="V36" s="28"/>
      <c r="Y36" s="29" t="s">
        <v>12</v>
      </c>
      <c r="Z36" s="28" t="str">
        <f t="shared" ref="Z36:AG36" si="6">(Z35/$AH$35)*100</f>
        <v>#DIV/0!</v>
      </c>
      <c r="AA36" s="28" t="str">
        <f t="shared" si="6"/>
        <v>#DIV/0!</v>
      </c>
      <c r="AB36" s="28" t="str">
        <f t="shared" si="6"/>
        <v>#DIV/0!</v>
      </c>
      <c r="AC36" s="28" t="str">
        <f t="shared" si="6"/>
        <v>#DIV/0!</v>
      </c>
      <c r="AD36" s="28" t="str">
        <f t="shared" si="6"/>
        <v>#DIV/0!</v>
      </c>
      <c r="AE36" s="28" t="str">
        <f t="shared" si="6"/>
        <v>#DIV/0!</v>
      </c>
      <c r="AF36" s="28" t="str">
        <f t="shared" si="6"/>
        <v>#DIV/0!</v>
      </c>
      <c r="AG36" s="28" t="str">
        <f t="shared" si="6"/>
        <v>#DIV/0!</v>
      </c>
      <c r="AH36" s="2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5">
    <mergeCell ref="N2:O2"/>
    <mergeCell ref="P2:Q2"/>
    <mergeCell ref="R2:S2"/>
    <mergeCell ref="T2:U2"/>
    <mergeCell ref="Z2:AA2"/>
    <mergeCell ref="AB2:AC2"/>
    <mergeCell ref="AD2:AE2"/>
    <mergeCell ref="AF2:AG2"/>
    <mergeCell ref="B1:J1"/>
    <mergeCell ref="M1:V1"/>
    <mergeCell ref="Y1:AH1"/>
    <mergeCell ref="B2:C2"/>
    <mergeCell ref="D2:E2"/>
    <mergeCell ref="F2:G2"/>
    <mergeCell ref="H2:I2"/>
  </mergeCells>
  <printOptions/>
  <pageMargins bottom="0.787401575" footer="0.0" header="0.0" left="0.511811024" right="0.511811024" top="0.787401575"/>
  <pageSetup orientation="landscape"/>
  <drawing r:id="rId4"/>
  <legacy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44"/>
  </cols>
  <sheetData>
    <row r="1" ht="15.75" customHeight="1">
      <c r="B1" s="48" t="s">
        <v>3</v>
      </c>
      <c r="C1" s="3"/>
      <c r="D1" s="49" t="s">
        <v>5</v>
      </c>
      <c r="E1" s="3"/>
      <c r="F1" s="48" t="s">
        <v>20</v>
      </c>
      <c r="G1" s="3"/>
      <c r="H1" s="49" t="s">
        <v>6</v>
      </c>
      <c r="I1" s="3"/>
    </row>
    <row r="2" ht="15.75" customHeight="1">
      <c r="B2" s="50" t="s">
        <v>21</v>
      </c>
      <c r="C2" s="50" t="s">
        <v>22</v>
      </c>
      <c r="D2" s="51" t="s">
        <v>21</v>
      </c>
      <c r="E2" s="51" t="s">
        <v>22</v>
      </c>
      <c r="F2" s="50" t="s">
        <v>21</v>
      </c>
      <c r="G2" s="50" t="s">
        <v>22</v>
      </c>
      <c r="H2" s="51" t="s">
        <v>10</v>
      </c>
      <c r="I2" s="51" t="s">
        <v>22</v>
      </c>
    </row>
    <row r="3" ht="15.75" customHeight="1">
      <c r="A3" s="52" t="s">
        <v>23</v>
      </c>
      <c r="B3" s="53" t="str">
        <f t="shared" ref="B3:B14" si="1">INDIRECT(A3&amp;"!C36")</f>
        <v>#DIV/0!</v>
      </c>
      <c r="C3" s="53" t="str">
        <f t="shared" ref="C3:C14" si="2">INDIRECT(A3&amp;"!B36")</f>
        <v>#DIV/0!</v>
      </c>
      <c r="D3" s="54" t="str">
        <f t="shared" ref="D3:D14" si="3">INDIRECT(A3&amp;"!G36")</f>
        <v>#DIV/0!</v>
      </c>
      <c r="E3" s="54" t="str">
        <f t="shared" ref="E3:E14" si="4">INDIRECT(A3&amp;"!F36")</f>
        <v>#DIV/0!</v>
      </c>
      <c r="F3" s="53" t="str">
        <f t="shared" ref="F3:F14" si="5">INDIRECT(A3&amp;"!E36")</f>
        <v>#DIV/0!</v>
      </c>
      <c r="G3" s="53" t="str">
        <f t="shared" ref="G3:G14" si="6">INDIRECT(A3&amp;"!D36")</f>
        <v>#DIV/0!</v>
      </c>
      <c r="H3" s="54" t="str">
        <f t="shared" ref="H3:H14" si="7">INDIRECT(A3&amp;"!I36")</f>
        <v>#DIV/0!</v>
      </c>
      <c r="I3" s="54" t="str">
        <f t="shared" ref="I3:I14" si="8">INDIRECT(A3&amp;"!H36")</f>
        <v>#DIV/0!</v>
      </c>
    </row>
    <row r="4" ht="15.75" customHeight="1">
      <c r="A4" s="52" t="s">
        <v>24</v>
      </c>
      <c r="B4" s="53">
        <f t="shared" si="1"/>
        <v>22.11302211</v>
      </c>
      <c r="C4" s="53">
        <f t="shared" si="2"/>
        <v>285.012285</v>
      </c>
      <c r="D4" s="54">
        <f t="shared" si="3"/>
        <v>0</v>
      </c>
      <c r="E4" s="54">
        <f t="shared" si="4"/>
        <v>12.28501229</v>
      </c>
      <c r="F4" s="53">
        <f t="shared" si="5"/>
        <v>9.828009828</v>
      </c>
      <c r="G4" s="53">
        <f t="shared" si="6"/>
        <v>90.90909091</v>
      </c>
      <c r="H4" s="54">
        <f t="shared" si="7"/>
        <v>0</v>
      </c>
      <c r="I4" s="54">
        <f t="shared" si="8"/>
        <v>0</v>
      </c>
    </row>
    <row r="5" ht="15.75" customHeight="1">
      <c r="A5" s="52" t="s">
        <v>25</v>
      </c>
      <c r="B5" s="53">
        <f t="shared" si="1"/>
        <v>13.12910284</v>
      </c>
      <c r="C5" s="53">
        <f t="shared" si="2"/>
        <v>113.785558</v>
      </c>
      <c r="D5" s="54">
        <f t="shared" si="3"/>
        <v>8.75273523</v>
      </c>
      <c r="E5" s="54">
        <f t="shared" si="4"/>
        <v>105.0328228</v>
      </c>
      <c r="F5" s="53">
        <f t="shared" si="5"/>
        <v>0</v>
      </c>
      <c r="G5" s="53">
        <f t="shared" si="6"/>
        <v>70.02188184</v>
      </c>
      <c r="H5" s="54">
        <f t="shared" si="7"/>
        <v>4.376367615</v>
      </c>
      <c r="I5" s="54">
        <f t="shared" si="8"/>
        <v>10.94091904</v>
      </c>
    </row>
    <row r="6" ht="15.75" customHeight="1">
      <c r="A6" s="52" t="s">
        <v>26</v>
      </c>
      <c r="B6" s="53">
        <f t="shared" si="1"/>
        <v>21.27659574</v>
      </c>
      <c r="C6" s="53">
        <f t="shared" si="2"/>
        <v>468.0851064</v>
      </c>
      <c r="D6" s="54">
        <f t="shared" si="3"/>
        <v>4.255319149</v>
      </c>
      <c r="E6" s="54">
        <f t="shared" si="4"/>
        <v>63.82978723</v>
      </c>
      <c r="F6" s="53">
        <f t="shared" si="5"/>
        <v>2.127659574</v>
      </c>
      <c r="G6" s="53">
        <f t="shared" si="6"/>
        <v>65.95744681</v>
      </c>
      <c r="H6" s="54">
        <f t="shared" si="7"/>
        <v>0</v>
      </c>
      <c r="I6" s="54">
        <f t="shared" si="8"/>
        <v>46.80851064</v>
      </c>
    </row>
    <row r="7" ht="15.75" customHeight="1">
      <c r="A7" s="52" t="s">
        <v>27</v>
      </c>
      <c r="B7" s="53">
        <f t="shared" si="1"/>
        <v>30.18867925</v>
      </c>
      <c r="C7" s="53">
        <f t="shared" si="2"/>
        <v>609.4339623</v>
      </c>
      <c r="D7" s="54">
        <f t="shared" si="3"/>
        <v>0</v>
      </c>
      <c r="E7" s="54">
        <f t="shared" si="4"/>
        <v>62.26415094</v>
      </c>
      <c r="F7" s="53">
        <f t="shared" si="5"/>
        <v>9.433962264</v>
      </c>
      <c r="G7" s="53">
        <f t="shared" si="6"/>
        <v>84.90566038</v>
      </c>
      <c r="H7" s="54">
        <f t="shared" si="7"/>
        <v>1.886792453</v>
      </c>
      <c r="I7" s="54">
        <f t="shared" si="8"/>
        <v>15.09433962</v>
      </c>
    </row>
    <row r="8" ht="15.75" customHeight="1">
      <c r="A8" s="52" t="s">
        <v>28</v>
      </c>
      <c r="B8" s="53">
        <f t="shared" si="1"/>
        <v>9.208103131</v>
      </c>
      <c r="C8" s="53">
        <f t="shared" si="2"/>
        <v>335.174954</v>
      </c>
      <c r="D8" s="54">
        <f t="shared" si="3"/>
        <v>3.683241252</v>
      </c>
      <c r="E8" s="54">
        <f t="shared" si="4"/>
        <v>71.82320442</v>
      </c>
      <c r="F8" s="53">
        <f t="shared" si="5"/>
        <v>7.366482505</v>
      </c>
      <c r="G8" s="53">
        <f t="shared" si="6"/>
        <v>73.66482505</v>
      </c>
      <c r="H8" s="54">
        <f t="shared" si="7"/>
        <v>1.841620626</v>
      </c>
      <c r="I8" s="54">
        <f t="shared" si="8"/>
        <v>11.04972376</v>
      </c>
    </row>
    <row r="9" ht="15.75" customHeight="1">
      <c r="A9" s="52" t="s">
        <v>29</v>
      </c>
      <c r="B9" s="53">
        <f t="shared" si="1"/>
        <v>19.60784314</v>
      </c>
      <c r="C9" s="53">
        <f t="shared" si="2"/>
        <v>105.1693405</v>
      </c>
      <c r="D9" s="54">
        <f t="shared" si="3"/>
        <v>1.782531194</v>
      </c>
      <c r="E9" s="54">
        <f t="shared" si="4"/>
        <v>30.3030303</v>
      </c>
      <c r="F9" s="53">
        <f t="shared" si="5"/>
        <v>3.565062389</v>
      </c>
      <c r="G9" s="53">
        <f t="shared" si="6"/>
        <v>19.60784314</v>
      </c>
      <c r="H9" s="54">
        <f t="shared" si="7"/>
        <v>1.782531194</v>
      </c>
      <c r="I9" s="54">
        <f t="shared" si="8"/>
        <v>48.12834225</v>
      </c>
    </row>
    <row r="10" ht="15.75" customHeight="1">
      <c r="A10" s="52" t="s">
        <v>30</v>
      </c>
      <c r="B10" s="53">
        <f t="shared" si="1"/>
        <v>11.86440678</v>
      </c>
      <c r="C10" s="53">
        <f t="shared" si="2"/>
        <v>96.61016949</v>
      </c>
      <c r="D10" s="54">
        <f t="shared" si="3"/>
        <v>6.779661017</v>
      </c>
      <c r="E10" s="54">
        <f t="shared" si="4"/>
        <v>23.72881356</v>
      </c>
      <c r="F10" s="53">
        <f t="shared" si="5"/>
        <v>6.779661017</v>
      </c>
      <c r="G10" s="53">
        <f t="shared" si="6"/>
        <v>61.01694915</v>
      </c>
      <c r="H10" s="54">
        <f t="shared" si="7"/>
        <v>0</v>
      </c>
      <c r="I10" s="54">
        <f t="shared" si="8"/>
        <v>0</v>
      </c>
    </row>
    <row r="11" ht="15.75" customHeight="1">
      <c r="A11" s="52" t="s">
        <v>31</v>
      </c>
      <c r="B11" s="53">
        <f t="shared" si="1"/>
        <v>23.48336595</v>
      </c>
      <c r="C11" s="53">
        <f t="shared" si="2"/>
        <v>136.9863014</v>
      </c>
      <c r="D11" s="54">
        <f t="shared" si="3"/>
        <v>5.870841487</v>
      </c>
      <c r="E11" s="54">
        <f t="shared" si="4"/>
        <v>19.56947162</v>
      </c>
      <c r="F11" s="53">
        <f t="shared" si="5"/>
        <v>13.69863014</v>
      </c>
      <c r="G11" s="53">
        <f t="shared" si="6"/>
        <v>58.70841487</v>
      </c>
      <c r="H11" s="54">
        <f t="shared" si="7"/>
        <v>0</v>
      </c>
      <c r="I11" s="54">
        <f t="shared" si="8"/>
        <v>0</v>
      </c>
    </row>
    <row r="12" ht="15.75" customHeight="1">
      <c r="A12" s="52" t="s">
        <v>32</v>
      </c>
      <c r="B12" s="53">
        <f t="shared" si="1"/>
        <v>24.66793169</v>
      </c>
      <c r="C12" s="53">
        <f t="shared" si="2"/>
        <v>231.4990512</v>
      </c>
      <c r="D12" s="54">
        <f t="shared" si="3"/>
        <v>5.69259962</v>
      </c>
      <c r="E12" s="54">
        <f t="shared" si="4"/>
        <v>43.64326376</v>
      </c>
      <c r="F12" s="53">
        <f t="shared" si="5"/>
        <v>13.28273245</v>
      </c>
      <c r="G12" s="53">
        <f t="shared" si="6"/>
        <v>83.4914611</v>
      </c>
      <c r="H12" s="54">
        <f t="shared" si="7"/>
        <v>0</v>
      </c>
      <c r="I12" s="54">
        <f t="shared" si="8"/>
        <v>0</v>
      </c>
    </row>
    <row r="13" ht="15.75" customHeight="1">
      <c r="A13" s="52" t="s">
        <v>33</v>
      </c>
      <c r="B13" s="53" t="str">
        <f t="shared" si="1"/>
        <v>#DIV/0!</v>
      </c>
      <c r="C13" s="53" t="str">
        <f t="shared" si="2"/>
        <v>#DIV/0!</v>
      </c>
      <c r="D13" s="54" t="str">
        <f t="shared" si="3"/>
        <v>#DIV/0!</v>
      </c>
      <c r="E13" s="54" t="str">
        <f t="shared" si="4"/>
        <v>#DIV/0!</v>
      </c>
      <c r="F13" s="53" t="str">
        <f t="shared" si="5"/>
        <v>#DIV/0!</v>
      </c>
      <c r="G13" s="53" t="str">
        <f t="shared" si="6"/>
        <v>#DIV/0!</v>
      </c>
      <c r="H13" s="54" t="str">
        <f t="shared" si="7"/>
        <v>#DIV/0!</v>
      </c>
      <c r="I13" s="54" t="str">
        <f t="shared" si="8"/>
        <v>#DIV/0!</v>
      </c>
    </row>
    <row r="14" ht="15.75" customHeight="1">
      <c r="A14" s="52" t="s">
        <v>34</v>
      </c>
      <c r="B14" s="53">
        <f t="shared" si="1"/>
        <v>11.70568562</v>
      </c>
      <c r="C14" s="53">
        <f t="shared" si="2"/>
        <v>60.2006689</v>
      </c>
      <c r="D14" s="54">
        <f t="shared" si="3"/>
        <v>10.03344482</v>
      </c>
      <c r="E14" s="54">
        <f t="shared" si="4"/>
        <v>95.31772575</v>
      </c>
      <c r="F14" s="53">
        <f t="shared" si="5"/>
        <v>3.344481605</v>
      </c>
      <c r="G14" s="53">
        <f t="shared" si="6"/>
        <v>25.08361204</v>
      </c>
      <c r="H14" s="54">
        <f t="shared" si="7"/>
        <v>0</v>
      </c>
      <c r="I14" s="54">
        <f t="shared" si="8"/>
        <v>0</v>
      </c>
    </row>
    <row r="15" ht="15.75" customHeight="1"/>
    <row r="16" ht="15.75" customHeight="1"/>
    <row r="17" ht="15.75" customHeight="1"/>
    <row r="18" ht="15.75" customHeight="1">
      <c r="B18" s="29"/>
      <c r="C18" s="29"/>
      <c r="D18" s="29"/>
      <c r="E18" s="29"/>
      <c r="F18" s="29"/>
      <c r="G18" s="29"/>
      <c r="H18" s="29"/>
      <c r="I18" s="29"/>
    </row>
    <row r="19" ht="15.75" customHeight="1">
      <c r="A19" s="55"/>
      <c r="B19" s="56" t="s">
        <v>1</v>
      </c>
      <c r="C19" s="57"/>
      <c r="D19" s="57"/>
      <c r="E19" s="57"/>
      <c r="F19" s="58"/>
      <c r="G19" s="55"/>
      <c r="H19" s="55"/>
      <c r="I19" s="56" t="s">
        <v>35</v>
      </c>
      <c r="J19" s="57"/>
      <c r="K19" s="57"/>
      <c r="L19" s="57"/>
      <c r="M19" s="58"/>
    </row>
    <row r="20" ht="15.75" customHeight="1">
      <c r="A20" s="55"/>
      <c r="B20" s="59" t="s">
        <v>36</v>
      </c>
      <c r="C20" s="59" t="s">
        <v>37</v>
      </c>
      <c r="D20" s="59" t="s">
        <v>38</v>
      </c>
      <c r="E20" s="59" t="s">
        <v>39</v>
      </c>
      <c r="F20" s="59"/>
      <c r="G20" s="55"/>
      <c r="H20" s="55"/>
      <c r="I20" s="59" t="s">
        <v>40</v>
      </c>
      <c r="J20" s="59" t="s">
        <v>41</v>
      </c>
      <c r="K20" s="59" t="s">
        <v>42</v>
      </c>
      <c r="L20" s="59" t="s">
        <v>43</v>
      </c>
      <c r="M20" s="59" t="s">
        <v>44</v>
      </c>
    </row>
    <row r="21" ht="15.75" customHeight="1">
      <c r="A21" s="55"/>
      <c r="B21" s="59" t="s">
        <v>3</v>
      </c>
      <c r="C21" s="59" t="s">
        <v>5</v>
      </c>
      <c r="D21" s="59" t="s">
        <v>20</v>
      </c>
      <c r="E21" s="59" t="s">
        <v>6</v>
      </c>
      <c r="F21" s="59" t="s">
        <v>45</v>
      </c>
      <c r="G21" s="55"/>
      <c r="H21" s="55"/>
      <c r="I21" s="59" t="s">
        <v>3</v>
      </c>
      <c r="J21" s="59" t="s">
        <v>5</v>
      </c>
      <c r="K21" s="59" t="s">
        <v>20</v>
      </c>
      <c r="L21" s="59" t="s">
        <v>6</v>
      </c>
      <c r="M21" s="59" t="s">
        <v>45</v>
      </c>
    </row>
    <row r="22" ht="15.75" customHeight="1">
      <c r="A22" s="60" t="s">
        <v>23</v>
      </c>
      <c r="B22" s="61">
        <f t="shared" ref="B22:B33" si="9">INDIRECT(A22&amp;"!O35")</f>
        <v>3</v>
      </c>
      <c r="C22" s="61">
        <f t="shared" ref="C22:C33" si="10">INDIRECT(A22&amp;"!S35")</f>
        <v>0</v>
      </c>
      <c r="D22" s="61">
        <f t="shared" ref="D22:D33" si="11">INDIRECT(A22&amp;"!Q35")</f>
        <v>3</v>
      </c>
      <c r="E22" s="61">
        <f t="shared" ref="E22:E33" si="12">INDIRECT(A22&amp;"!U35")</f>
        <v>0</v>
      </c>
      <c r="F22" s="61">
        <f t="shared" ref="F22:F33" si="13">INDIRECT(A22&amp;"!V35")</f>
        <v>0</v>
      </c>
      <c r="G22" s="55"/>
      <c r="H22" s="60" t="s">
        <v>23</v>
      </c>
      <c r="I22" s="61">
        <f t="shared" ref="I22:I33" si="14">INDIRECT(H22&amp;"!C35")</f>
        <v>11</v>
      </c>
      <c r="J22" s="61">
        <f t="shared" ref="J22:J33" si="15">INDIRECT(H22&amp;"!G35")</f>
        <v>1</v>
      </c>
      <c r="K22" s="61">
        <f t="shared" ref="K22:K33" si="16">INDIRECT(H22&amp;"!E35")</f>
        <v>4</v>
      </c>
      <c r="L22" s="61">
        <f t="shared" ref="L22:L33" si="17">INDIRECT(H22&amp;"!I35")</f>
        <v>0</v>
      </c>
      <c r="M22" s="61">
        <f t="shared" ref="M22:M33" si="18">INDIRECT(H22&amp;"!J35")</f>
        <v>0</v>
      </c>
    </row>
    <row r="23" ht="15.75" customHeight="1">
      <c r="A23" s="60" t="s">
        <v>24</v>
      </c>
      <c r="B23" s="61">
        <f t="shared" si="9"/>
        <v>6</v>
      </c>
      <c r="C23" s="61">
        <f t="shared" si="10"/>
        <v>0</v>
      </c>
      <c r="D23" s="61">
        <f t="shared" si="11"/>
        <v>2</v>
      </c>
      <c r="E23" s="61">
        <f t="shared" si="12"/>
        <v>0</v>
      </c>
      <c r="F23" s="61">
        <f t="shared" si="13"/>
        <v>222</v>
      </c>
      <c r="G23" s="55"/>
      <c r="H23" s="60" t="s">
        <v>24</v>
      </c>
      <c r="I23" s="61">
        <f t="shared" si="14"/>
        <v>9</v>
      </c>
      <c r="J23" s="61">
        <f t="shared" si="15"/>
        <v>0</v>
      </c>
      <c r="K23" s="61">
        <f t="shared" si="16"/>
        <v>4</v>
      </c>
      <c r="L23" s="61">
        <f t="shared" si="17"/>
        <v>0</v>
      </c>
      <c r="M23" s="61">
        <f t="shared" si="18"/>
        <v>407</v>
      </c>
    </row>
    <row r="24" ht="15.75" customHeight="1">
      <c r="A24" s="60" t="s">
        <v>25</v>
      </c>
      <c r="B24" s="61">
        <f t="shared" si="9"/>
        <v>4</v>
      </c>
      <c r="C24" s="61">
        <f t="shared" si="10"/>
        <v>0</v>
      </c>
      <c r="D24" s="61">
        <f t="shared" si="11"/>
        <v>2</v>
      </c>
      <c r="E24" s="61">
        <f t="shared" si="12"/>
        <v>0</v>
      </c>
      <c r="F24" s="61">
        <f t="shared" si="13"/>
        <v>244</v>
      </c>
      <c r="G24" s="55"/>
      <c r="H24" s="60" t="s">
        <v>25</v>
      </c>
      <c r="I24" s="61">
        <f t="shared" si="14"/>
        <v>6</v>
      </c>
      <c r="J24" s="61">
        <f t="shared" si="15"/>
        <v>4</v>
      </c>
      <c r="K24" s="61">
        <f t="shared" si="16"/>
        <v>0</v>
      </c>
      <c r="L24" s="61">
        <f t="shared" si="17"/>
        <v>2</v>
      </c>
      <c r="M24" s="61">
        <f t="shared" si="18"/>
        <v>457</v>
      </c>
    </row>
    <row r="25" ht="15.75" customHeight="1">
      <c r="A25" s="60" t="s">
        <v>26</v>
      </c>
      <c r="B25" s="61">
        <f t="shared" si="9"/>
        <v>4</v>
      </c>
      <c r="C25" s="61">
        <f t="shared" si="10"/>
        <v>0</v>
      </c>
      <c r="D25" s="61">
        <f t="shared" si="11"/>
        <v>3</v>
      </c>
      <c r="E25" s="61">
        <f t="shared" si="12"/>
        <v>0</v>
      </c>
      <c r="F25" s="61">
        <f t="shared" si="13"/>
        <v>217</v>
      </c>
      <c r="G25" s="55"/>
      <c r="H25" s="60" t="s">
        <v>26</v>
      </c>
      <c r="I25" s="61">
        <f t="shared" si="14"/>
        <v>10</v>
      </c>
      <c r="J25" s="61">
        <f t="shared" si="15"/>
        <v>2</v>
      </c>
      <c r="K25" s="61">
        <f t="shared" si="16"/>
        <v>1</v>
      </c>
      <c r="L25" s="61">
        <f t="shared" si="17"/>
        <v>0</v>
      </c>
      <c r="M25" s="61">
        <f t="shared" si="18"/>
        <v>470</v>
      </c>
    </row>
    <row r="26" ht="15.75" customHeight="1">
      <c r="A26" s="60" t="s">
        <v>27</v>
      </c>
      <c r="B26" s="61">
        <f t="shared" si="9"/>
        <v>9</v>
      </c>
      <c r="C26" s="61">
        <f t="shared" si="10"/>
        <v>0</v>
      </c>
      <c r="D26" s="61">
        <f t="shared" si="11"/>
        <v>4</v>
      </c>
      <c r="E26" s="61">
        <f t="shared" si="12"/>
        <v>0</v>
      </c>
      <c r="F26" s="61">
        <f t="shared" si="13"/>
        <v>251</v>
      </c>
      <c r="G26" s="55"/>
      <c r="H26" s="60" t="s">
        <v>27</v>
      </c>
      <c r="I26" s="61">
        <f t="shared" si="14"/>
        <v>16</v>
      </c>
      <c r="J26" s="61">
        <f t="shared" si="15"/>
        <v>0</v>
      </c>
      <c r="K26" s="61">
        <f t="shared" si="16"/>
        <v>5</v>
      </c>
      <c r="L26" s="61">
        <f t="shared" si="17"/>
        <v>1</v>
      </c>
      <c r="M26" s="61">
        <f t="shared" si="18"/>
        <v>530</v>
      </c>
    </row>
    <row r="27" ht="15.75" customHeight="1">
      <c r="A27" s="60" t="s">
        <v>28</v>
      </c>
      <c r="B27" s="61">
        <f t="shared" si="9"/>
        <v>7</v>
      </c>
      <c r="C27" s="61">
        <f t="shared" si="10"/>
        <v>3</v>
      </c>
      <c r="D27" s="61">
        <f t="shared" si="11"/>
        <v>3</v>
      </c>
      <c r="E27" s="61">
        <f t="shared" si="12"/>
        <v>2</v>
      </c>
      <c r="F27" s="61">
        <f t="shared" si="13"/>
        <v>266</v>
      </c>
      <c r="G27" s="55"/>
      <c r="H27" s="60" t="s">
        <v>28</v>
      </c>
      <c r="I27" s="61">
        <f t="shared" si="14"/>
        <v>5</v>
      </c>
      <c r="J27" s="61">
        <f t="shared" si="15"/>
        <v>2</v>
      </c>
      <c r="K27" s="61">
        <f t="shared" si="16"/>
        <v>4</v>
      </c>
      <c r="L27" s="61">
        <f t="shared" si="17"/>
        <v>1</v>
      </c>
      <c r="M27" s="61">
        <f t="shared" si="18"/>
        <v>543</v>
      </c>
    </row>
    <row r="28" ht="15.75" customHeight="1">
      <c r="A28" s="60" t="s">
        <v>29</v>
      </c>
      <c r="B28" s="61">
        <f t="shared" si="9"/>
        <v>7</v>
      </c>
      <c r="C28" s="61">
        <f t="shared" si="10"/>
        <v>1</v>
      </c>
      <c r="D28" s="61">
        <f t="shared" si="11"/>
        <v>0</v>
      </c>
      <c r="E28" s="61">
        <f t="shared" si="12"/>
        <v>0</v>
      </c>
      <c r="F28" s="61">
        <f t="shared" si="13"/>
        <v>296</v>
      </c>
      <c r="G28" s="55"/>
      <c r="H28" s="60" t="s">
        <v>29</v>
      </c>
      <c r="I28" s="61">
        <f t="shared" si="14"/>
        <v>11</v>
      </c>
      <c r="J28" s="61">
        <f t="shared" si="15"/>
        <v>1</v>
      </c>
      <c r="K28" s="61">
        <f t="shared" si="16"/>
        <v>2</v>
      </c>
      <c r="L28" s="61">
        <f t="shared" si="17"/>
        <v>1</v>
      </c>
      <c r="M28" s="61">
        <f t="shared" si="18"/>
        <v>561</v>
      </c>
    </row>
    <row r="29" ht="15.75" customHeight="1">
      <c r="A29" s="60" t="s">
        <v>30</v>
      </c>
      <c r="B29" s="61">
        <f t="shared" si="9"/>
        <v>1</v>
      </c>
      <c r="C29" s="61">
        <f t="shared" si="10"/>
        <v>6</v>
      </c>
      <c r="D29" s="61">
        <f t="shared" si="11"/>
        <v>5</v>
      </c>
      <c r="E29" s="61">
        <f t="shared" si="12"/>
        <v>0</v>
      </c>
      <c r="F29" s="61">
        <f t="shared" si="13"/>
        <v>291</v>
      </c>
      <c r="G29" s="55"/>
      <c r="H29" s="60" t="s">
        <v>30</v>
      </c>
      <c r="I29" s="61">
        <f t="shared" si="14"/>
        <v>7</v>
      </c>
      <c r="J29" s="61">
        <f t="shared" si="15"/>
        <v>4</v>
      </c>
      <c r="K29" s="61">
        <f t="shared" si="16"/>
        <v>4</v>
      </c>
      <c r="L29" s="61">
        <f t="shared" si="17"/>
        <v>0</v>
      </c>
      <c r="M29" s="61">
        <f t="shared" si="18"/>
        <v>590</v>
      </c>
    </row>
    <row r="30" ht="15.75" customHeight="1">
      <c r="A30" s="60" t="s">
        <v>31</v>
      </c>
      <c r="B30" s="61">
        <f t="shared" si="9"/>
        <v>3</v>
      </c>
      <c r="C30" s="61">
        <f t="shared" si="10"/>
        <v>3</v>
      </c>
      <c r="D30" s="61">
        <f t="shared" si="11"/>
        <v>6</v>
      </c>
      <c r="E30" s="61">
        <f t="shared" si="12"/>
        <v>0</v>
      </c>
      <c r="F30" s="61">
        <f t="shared" si="13"/>
        <v>274</v>
      </c>
      <c r="G30" s="55"/>
      <c r="H30" s="60" t="s">
        <v>31</v>
      </c>
      <c r="I30" s="61">
        <f t="shared" si="14"/>
        <v>12</v>
      </c>
      <c r="J30" s="61">
        <f t="shared" si="15"/>
        <v>3</v>
      </c>
      <c r="K30" s="61">
        <f t="shared" si="16"/>
        <v>7</v>
      </c>
      <c r="L30" s="61">
        <f t="shared" si="17"/>
        <v>0</v>
      </c>
      <c r="M30" s="61">
        <f t="shared" si="18"/>
        <v>511</v>
      </c>
    </row>
    <row r="31" ht="15.75" customHeight="1">
      <c r="A31" s="60" t="s">
        <v>32</v>
      </c>
      <c r="B31" s="61">
        <f t="shared" si="9"/>
        <v>6</v>
      </c>
      <c r="C31" s="61">
        <f t="shared" si="10"/>
        <v>4</v>
      </c>
      <c r="D31" s="61">
        <f t="shared" si="11"/>
        <v>5</v>
      </c>
      <c r="E31" s="61">
        <f t="shared" si="12"/>
        <v>0</v>
      </c>
      <c r="F31" s="61">
        <f t="shared" si="13"/>
        <v>280</v>
      </c>
      <c r="G31" s="55"/>
      <c r="H31" s="60" t="s">
        <v>32</v>
      </c>
      <c r="I31" s="61">
        <f t="shared" si="14"/>
        <v>13</v>
      </c>
      <c r="J31" s="61">
        <f t="shared" si="15"/>
        <v>3</v>
      </c>
      <c r="K31" s="61">
        <f t="shared" si="16"/>
        <v>7</v>
      </c>
      <c r="L31" s="61">
        <f t="shared" si="17"/>
        <v>0</v>
      </c>
      <c r="M31" s="61">
        <f t="shared" si="18"/>
        <v>527</v>
      </c>
    </row>
    <row r="32" ht="15.75" customHeight="1">
      <c r="A32" s="60" t="s">
        <v>33</v>
      </c>
      <c r="B32" s="61">
        <f t="shared" si="9"/>
        <v>6</v>
      </c>
      <c r="C32" s="61">
        <f t="shared" si="10"/>
        <v>3</v>
      </c>
      <c r="D32" s="61">
        <f t="shared" si="11"/>
        <v>4</v>
      </c>
      <c r="E32" s="61">
        <f t="shared" si="12"/>
        <v>0</v>
      </c>
      <c r="F32" s="61">
        <f t="shared" si="13"/>
        <v>0</v>
      </c>
      <c r="G32" s="55"/>
      <c r="H32" s="60" t="s">
        <v>33</v>
      </c>
      <c r="I32" s="61">
        <f t="shared" si="14"/>
        <v>6</v>
      </c>
      <c r="J32" s="61">
        <f t="shared" si="15"/>
        <v>3</v>
      </c>
      <c r="K32" s="61">
        <f t="shared" si="16"/>
        <v>3</v>
      </c>
      <c r="L32" s="61">
        <f t="shared" si="17"/>
        <v>0</v>
      </c>
      <c r="M32" s="61">
        <f t="shared" si="18"/>
        <v>0</v>
      </c>
    </row>
    <row r="33" ht="15.75" customHeight="1">
      <c r="A33" s="60" t="s">
        <v>34</v>
      </c>
      <c r="B33" s="61">
        <f t="shared" si="9"/>
        <v>4</v>
      </c>
      <c r="C33" s="61">
        <f t="shared" si="10"/>
        <v>7</v>
      </c>
      <c r="D33" s="61">
        <f t="shared" si="11"/>
        <v>1</v>
      </c>
      <c r="E33" s="61">
        <f t="shared" si="12"/>
        <v>0</v>
      </c>
      <c r="F33" s="61">
        <f t="shared" si="13"/>
        <v>303</v>
      </c>
      <c r="G33" s="55"/>
      <c r="H33" s="60" t="s">
        <v>34</v>
      </c>
      <c r="I33" s="61">
        <f t="shared" si="14"/>
        <v>7</v>
      </c>
      <c r="J33" s="61">
        <f t="shared" si="15"/>
        <v>6</v>
      </c>
      <c r="K33" s="61">
        <f t="shared" si="16"/>
        <v>2</v>
      </c>
      <c r="L33" s="61">
        <f t="shared" si="17"/>
        <v>0</v>
      </c>
      <c r="M33" s="61">
        <f t="shared" si="18"/>
        <v>598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C1"/>
    <mergeCell ref="D1:E1"/>
    <mergeCell ref="F1:G1"/>
    <mergeCell ref="H1:I1"/>
    <mergeCell ref="B19:F19"/>
    <mergeCell ref="I19:M19"/>
  </mergeCells>
  <printOptions/>
  <pageMargins bottom="0.787401575" footer="0.0" header="0.0" left="0.511811024" right="0.511811024" top="0.787401575"/>
  <pageSetup orientation="landscape"/>
  <drawing r:id="rId1"/>
</worksheet>
</file>